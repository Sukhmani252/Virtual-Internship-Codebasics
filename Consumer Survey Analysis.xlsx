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IMK\Downloads\"/>
    </mc:Choice>
  </mc:AlternateContent>
  <xr:revisionPtr revIDLastSave="0" documentId="13_ncr:1_{06167F33-F80E-4D0D-B315-16034474348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im_respondents.csv" sheetId="1" r:id="rId1"/>
    <sheet name="dim_cities" sheetId="2" r:id="rId2"/>
    <sheet name="fact_survey_responses" sheetId="3" r:id="rId3"/>
    <sheet name="Analysis" sheetId="4" r:id="rId4"/>
  </sheets>
  <calcPr calcId="191029"/>
  <pivotCaches>
    <pivotCache cacheId="6" r:id="rId5"/>
    <pivotCache cacheId="1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<sst xmlns="http://schemas.openxmlformats.org/spreadsheetml/2006/main" count="598" uniqueCount="141">
  <si>
    <t>Response_ID</t>
  </si>
  <si>
    <t>City_ID</t>
  </si>
  <si>
    <t>Respondent_ID</t>
  </si>
  <si>
    <t>Current_brands</t>
  </si>
  <si>
    <t>Taste_experience</t>
  </si>
  <si>
    <t>Price_range</t>
  </si>
  <si>
    <t>Purchase_location</t>
  </si>
  <si>
    <t>City</t>
  </si>
  <si>
    <t>Tier</t>
  </si>
  <si>
    <t>CT111</t>
  </si>
  <si>
    <t>Blue Bull</t>
  </si>
  <si>
    <t>DELHI</t>
  </si>
  <si>
    <t>50-99</t>
  </si>
  <si>
    <t>Tier 1</t>
  </si>
  <si>
    <t>Supermarkets</t>
  </si>
  <si>
    <t>CT112</t>
  </si>
  <si>
    <t>MUMBAI</t>
  </si>
  <si>
    <t>Bepsi</t>
  </si>
  <si>
    <t>CT113</t>
  </si>
  <si>
    <t>Bangalore</t>
  </si>
  <si>
    <t>100-150</t>
  </si>
  <si>
    <t>CT114</t>
  </si>
  <si>
    <t>CHENNAI</t>
  </si>
  <si>
    <t>CT115</t>
  </si>
  <si>
    <t>Above 150</t>
  </si>
  <si>
    <t>Kolkata</t>
  </si>
  <si>
    <t>Tier 2</t>
  </si>
  <si>
    <t>CT116</t>
  </si>
  <si>
    <t>Sky 9</t>
  </si>
  <si>
    <t>Hyderabad</t>
  </si>
  <si>
    <t>Online retailers</t>
  </si>
  <si>
    <t>CT117</t>
  </si>
  <si>
    <t>Ahmedabad</t>
  </si>
  <si>
    <t>Cola-Coka</t>
  </si>
  <si>
    <t>CT118</t>
  </si>
  <si>
    <t>Gyms and fitness centers</t>
  </si>
  <si>
    <t>Pune</t>
  </si>
  <si>
    <t>CT119</t>
  </si>
  <si>
    <t>Jaipur</t>
  </si>
  <si>
    <t>Other</t>
  </si>
  <si>
    <t>CT120</t>
  </si>
  <si>
    <t>LUCKNOW</t>
  </si>
  <si>
    <t>Gangster</t>
  </si>
  <si>
    <t>Name</t>
  </si>
  <si>
    <t>Age</t>
  </si>
  <si>
    <t>Gender</t>
  </si>
  <si>
    <t>Brands</t>
  </si>
  <si>
    <t>Codex</t>
  </si>
  <si>
    <t>Others</t>
  </si>
  <si>
    <t>Aniruddh Issac</t>
  </si>
  <si>
    <t>15-18</t>
  </si>
  <si>
    <t>F</t>
  </si>
  <si>
    <t>Consumer Survey Analysis</t>
  </si>
  <si>
    <t>Local stores</t>
  </si>
  <si>
    <t>Distribution of respondents across city tiers</t>
  </si>
  <si>
    <t>Below 50</t>
  </si>
  <si>
    <t>Trisha Rout</t>
  </si>
  <si>
    <t>19-30</t>
  </si>
  <si>
    <t>M</t>
  </si>
  <si>
    <t>Yuvraj  Virk</t>
  </si>
  <si>
    <t>Pranay Chand</t>
  </si>
  <si>
    <t>31-45</t>
  </si>
  <si>
    <t>Mohanlal Joshi</t>
  </si>
  <si>
    <t>Zeeshan Ratta</t>
  </si>
  <si>
    <t>Oorja Anne</t>
  </si>
  <si>
    <t>Rhea Khanna</t>
  </si>
  <si>
    <t>Zara Joshi</t>
  </si>
  <si>
    <t>46-65</t>
  </si>
  <si>
    <t>Sana Dhawan</t>
  </si>
  <si>
    <t>Misha Warrior</t>
  </si>
  <si>
    <t>Kiara Chander</t>
  </si>
  <si>
    <t>Kimaya Borde</t>
  </si>
  <si>
    <t>COUNT of Respondent_ID</t>
  </si>
  <si>
    <t>Grand Total</t>
  </si>
  <si>
    <t>Tushar Malhotra</t>
  </si>
  <si>
    <t>Gender distribution of respondents by age group</t>
  </si>
  <si>
    <t>Azad Gera</t>
  </si>
  <si>
    <t>65+</t>
  </si>
  <si>
    <t>Aarav Bath</t>
  </si>
  <si>
    <t>Ojas Char</t>
  </si>
  <si>
    <t>Non-binary</t>
  </si>
  <si>
    <t>Highest average taste experience rating by brand</t>
  </si>
  <si>
    <t>Advik Baria</t>
  </si>
  <si>
    <t>Dhruv Loyal</t>
  </si>
  <si>
    <t>Dharmajan Doshi</t>
  </si>
  <si>
    <t>AVERAGE of Taste_experience</t>
  </si>
  <si>
    <t>Diya Srinivas</t>
  </si>
  <si>
    <t>Average taste experience rating across all brands</t>
  </si>
  <si>
    <t>Average taste experience rating by purchase location</t>
  </si>
  <si>
    <t>Alia Lala</t>
  </si>
  <si>
    <t>Samaira Lad</t>
  </si>
  <si>
    <t>Pari Subramaniam</t>
  </si>
  <si>
    <t>Highest</t>
  </si>
  <si>
    <t>Lowest</t>
  </si>
  <si>
    <t>Umang Sarkar</t>
  </si>
  <si>
    <t>Most preferred brand among respondents aged 19-30</t>
  </si>
  <si>
    <t>Rhea Kar</t>
  </si>
  <si>
    <t>Kanav Thaman</t>
  </si>
  <si>
    <t>Biju Bera</t>
  </si>
  <si>
    <t>Sana Bumb</t>
  </si>
  <si>
    <t>Piya Sani</t>
  </si>
  <si>
    <t>Yuvaan Kari</t>
  </si>
  <si>
    <t>Tanya Deshmukh</t>
  </si>
  <si>
    <t>Diya Sunder</t>
  </si>
  <si>
    <t>Shanaya Kadakia</t>
  </si>
  <si>
    <t>Shamik Chaudry</t>
  </si>
  <si>
    <t>Yashvi Deo</t>
  </si>
  <si>
    <t>Eshani Bahl</t>
  </si>
  <si>
    <t>Anahi Ganguly</t>
  </si>
  <si>
    <t>Kismat Lata</t>
  </si>
  <si>
    <t>Anya Gill</t>
  </si>
  <si>
    <t>Pranay Tella</t>
  </si>
  <si>
    <t>Parinaaz Goel</t>
  </si>
  <si>
    <t>Divit Gandhi</t>
  </si>
  <si>
    <t>Saanvi Reddy</t>
  </si>
  <si>
    <t>Jhanvi Samra</t>
  </si>
  <si>
    <t>Ryan Dasgupta</t>
  </si>
  <si>
    <t>Tarini Acharya</t>
  </si>
  <si>
    <t>Suhana Ramakrishnan</t>
  </si>
  <si>
    <t>Heer Suri</t>
  </si>
  <si>
    <t>Sana Mand</t>
  </si>
  <si>
    <t>Ishaan Sengupta</t>
  </si>
  <si>
    <t>Abram Khatri</t>
  </si>
  <si>
    <t>Anahita Sidhu</t>
  </si>
  <si>
    <t>Myra Ganesan</t>
  </si>
  <si>
    <t>Nirvaan Loyal</t>
  </si>
  <si>
    <t>Veer Brahmbhatt</t>
  </si>
  <si>
    <t>Kaira Bhardwaj</t>
  </si>
  <si>
    <t>Heer Ganesan</t>
  </si>
  <si>
    <t>Lakshit Bassi</t>
  </si>
  <si>
    <t>Rasha Bhavsar</t>
  </si>
  <si>
    <t>Advik Ratti</t>
  </si>
  <si>
    <t>Baiju Sane</t>
  </si>
  <si>
    <t>Shayak Sane</t>
  </si>
  <si>
    <t>Armaan Bassi</t>
  </si>
  <si>
    <t>Darshit Sami</t>
  </si>
  <si>
    <t>Advika Borah</t>
  </si>
  <si>
    <t>Sumer Sandal</t>
  </si>
  <si>
    <t>Saira Sridhar</t>
  </si>
  <si>
    <t>Ivana Bhatti</t>
  </si>
  <si>
    <t>Divyansh Bhatt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</si>
</sst>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8"/>
      <color rgb="FF980000"/>
      <name val="Arial"/>
      <scheme val="minor"/>
    </font>
    <font>
      <b/>
      <sz val="12"/>
      <color rgb="FF1155CC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6" fillId="0" borderId="0" xfId="0" applyFont="1"/>
    <xf numFmtId="0" fontId="6" fillId="3" borderId="0" xfId="0" applyFont="1" applyFill="1"/>
    <xf numFmtId="0" fontId="4" fillId="3" borderId="0" xfId="0" applyFont="1" applyFill="1"/>
    <xf numFmtId="2" fontId="4" fillId="0" borderId="0" xfId="0" applyNumberFormat="1" applyFont="1"/>
    <xf numFmtId="0" fontId="4" fillId="4" borderId="0" xfId="0" applyFont="1" applyFill="1"/>
    <xf numFmtId="2" fontId="4" fillId="3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NumberFormat="1" applyBorder="1"/>
    <xf numFmtId="0" fontId="0" fillId="0" borderId="10" xfId="0" applyNumberFormat="1" applyBorder="1"/>
    <xf numFmtId="0" fontId="0" fillId="0" borderId="4" xfId="0" applyNumberFormat="1" applyBorder="1"/>
    <xf numFmtId="0" fontId="0" fillId="0" borderId="0" xfId="0" applyNumberFormat="1"/>
    <xf numFmtId="0" fontId="0" fillId="0" borderId="6" xfId="0" applyNumberFormat="1" applyBorder="1"/>
    <xf numFmtId="0" fontId="0" fillId="0" borderId="11" xfId="0" applyNumberFormat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IIMK" refreshedDate="46267.458558333332" refreshedVersion="8" recordCount="70" xr:uid="{00000000-000A-0000-FFFF-FFFF01000000}">
  <cacheSource type="worksheet">
    <worksheetSource ref="A1:F71" sheet="fact_survey_responses"/>
  </cacheSource>
  <cacheFields count="6">
    <cacheField name="Response_ID" numFmtId="0">
      <sharedItems containsSemiMixedTypes="0" containsString="0" containsNumber="1" containsInteger="1" minValue="103001" maxValue="103070"/>
    </cacheField>
    <cacheField name="Respondent_ID" numFmtId="0">
      <sharedItems containsSemiMixedTypes="0" containsString="0" containsNumber="1" containsInteger="1" minValue="120031" maxValue="120100"/>
    </cacheField>
    <cacheField name="Current_brands" numFmtId="0">
      <sharedItems count="7">
        <s v="Blue Bull"/>
        <s v="Bepsi"/>
        <s v="Sky 9"/>
        <s v="Cola-Coka"/>
        <s v="Gangster"/>
        <s v="Codex"/>
        <s v="Others"/>
      </sharedItems>
    </cacheField>
    <cacheField name="Taste_experience" numFmtId="0">
      <sharedItems containsSemiMixedTypes="0" containsString="0" containsNumber="1" containsInteger="1" minValue="1" maxValue="5"/>
    </cacheField>
    <cacheField name="Price_range" numFmtId="0">
      <sharedItems/>
    </cacheField>
    <cacheField name="Purchase_location" numFmtId="0">
      <sharedItems count="5">
        <s v="Supermarkets"/>
        <s v="Online retailers"/>
        <s v="Gyms and fitness centers"/>
        <s v="Other"/>
        <s v="Local stor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IIMK" refreshedDate="46267.458558564816" refreshedVersion="8" recordCount="70" xr:uid="{00000000-000A-0000-FFFF-FFFF00000000}">
  <cacheSource type="worksheet">
    <worksheetSource ref="A1:G71" sheet="dim_respondents.csv"/>
  </cacheSource>
  <cacheFields count="7">
    <cacheField name="Respondent_ID" numFmtId="0">
      <sharedItems containsSemiMixedTypes="0" containsString="0" containsNumber="1" containsInteger="1" minValue="120031" maxValue="120100"/>
    </cacheField>
    <cacheField name="Name" numFmtId="0">
      <sharedItems/>
    </cacheField>
    <cacheField name="Age" numFmtId="0">
      <sharedItems count="5">
        <s v="15-18"/>
        <s v="19-30"/>
        <s v="31-45"/>
        <s v="46-65"/>
        <s v="65+"/>
      </sharedItems>
    </cacheField>
    <cacheField name="Gender" numFmtId="0">
      <sharedItems count="3">
        <s v="F"/>
        <s v="M"/>
        <s v="Non-binary"/>
      </sharedItems>
    </cacheField>
    <cacheField name="City_ID" numFmtId="0">
      <sharedItems/>
    </cacheField>
    <cacheField name="Tier" numFmtId="0">
      <sharedItems count="2">
        <s v="Tier 2"/>
        <s v="Tier 1"/>
      </sharedItems>
    </cacheField>
    <cacheField name="Brands" numFmtId="0">
      <sharedItems count="7">
        <s v="Blue Bull"/>
        <s v="Bepsi"/>
        <s v="Sky 9"/>
        <s v="Cola-Coka"/>
        <s v="Gangster"/>
        <s v="Codex"/>
        <s v="Oth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103001"/>
    <n v="120031"/>
    <x v="0"/>
    <n v="5"/>
    <s v="50-99"/>
    <x v="0"/>
  </r>
  <r>
    <n v="103002"/>
    <n v="120032"/>
    <x v="1"/>
    <n v="5"/>
    <s v="50-99"/>
    <x v="0"/>
  </r>
  <r>
    <n v="103003"/>
    <n v="120033"/>
    <x v="1"/>
    <n v="2"/>
    <s v="100-150"/>
    <x v="0"/>
  </r>
  <r>
    <n v="103004"/>
    <n v="120034"/>
    <x v="1"/>
    <n v="5"/>
    <s v="Above 150"/>
    <x v="0"/>
  </r>
  <r>
    <n v="103005"/>
    <n v="120035"/>
    <x v="2"/>
    <n v="5"/>
    <s v="100-150"/>
    <x v="1"/>
  </r>
  <r>
    <n v="103006"/>
    <n v="120036"/>
    <x v="3"/>
    <n v="5"/>
    <s v="Above 150"/>
    <x v="2"/>
  </r>
  <r>
    <n v="103007"/>
    <n v="120037"/>
    <x v="3"/>
    <n v="4"/>
    <s v="100-150"/>
    <x v="3"/>
  </r>
  <r>
    <n v="103008"/>
    <n v="120038"/>
    <x v="4"/>
    <n v="4"/>
    <s v="50-99"/>
    <x v="2"/>
  </r>
  <r>
    <n v="103009"/>
    <n v="120039"/>
    <x v="4"/>
    <n v="3"/>
    <s v="100-150"/>
    <x v="3"/>
  </r>
  <r>
    <n v="103010"/>
    <n v="120040"/>
    <x v="2"/>
    <n v="4"/>
    <s v="50-99"/>
    <x v="2"/>
  </r>
  <r>
    <n v="103011"/>
    <n v="120041"/>
    <x v="5"/>
    <n v="5"/>
    <s v="50-99"/>
    <x v="0"/>
  </r>
  <r>
    <n v="103012"/>
    <n v="120042"/>
    <x v="6"/>
    <n v="2"/>
    <s v="100-150"/>
    <x v="1"/>
  </r>
  <r>
    <n v="103013"/>
    <n v="120043"/>
    <x v="4"/>
    <n v="4"/>
    <s v="50-99"/>
    <x v="2"/>
  </r>
  <r>
    <n v="103014"/>
    <n v="120044"/>
    <x v="6"/>
    <n v="5"/>
    <s v="50-99"/>
    <x v="1"/>
  </r>
  <r>
    <n v="103015"/>
    <n v="120045"/>
    <x v="1"/>
    <n v="5"/>
    <s v="Above 150"/>
    <x v="0"/>
  </r>
  <r>
    <n v="103016"/>
    <n v="120046"/>
    <x v="1"/>
    <n v="3"/>
    <s v="Above 150"/>
    <x v="0"/>
  </r>
  <r>
    <n v="103017"/>
    <n v="120047"/>
    <x v="5"/>
    <n v="4"/>
    <s v="50-99"/>
    <x v="0"/>
  </r>
  <r>
    <n v="103018"/>
    <n v="120048"/>
    <x v="2"/>
    <n v="1"/>
    <s v="100-150"/>
    <x v="1"/>
  </r>
  <r>
    <n v="103019"/>
    <n v="120049"/>
    <x v="1"/>
    <n v="4"/>
    <s v="50-99"/>
    <x v="4"/>
  </r>
  <r>
    <n v="103020"/>
    <n v="120050"/>
    <x v="6"/>
    <n v="2"/>
    <s v="50-99"/>
    <x v="3"/>
  </r>
  <r>
    <n v="103021"/>
    <n v="120051"/>
    <x v="4"/>
    <n v="3"/>
    <s v="50-99"/>
    <x v="1"/>
  </r>
  <r>
    <n v="103022"/>
    <n v="120052"/>
    <x v="4"/>
    <n v="4"/>
    <s v="50-99"/>
    <x v="0"/>
  </r>
  <r>
    <n v="103023"/>
    <n v="120053"/>
    <x v="3"/>
    <n v="3"/>
    <s v="50-99"/>
    <x v="1"/>
  </r>
  <r>
    <n v="103024"/>
    <n v="120054"/>
    <x v="1"/>
    <n v="1"/>
    <s v="100-150"/>
    <x v="1"/>
  </r>
  <r>
    <n v="103025"/>
    <n v="120055"/>
    <x v="3"/>
    <n v="3"/>
    <s v="Above 150"/>
    <x v="2"/>
  </r>
  <r>
    <n v="103026"/>
    <n v="120056"/>
    <x v="3"/>
    <n v="1"/>
    <s v="50-99"/>
    <x v="2"/>
  </r>
  <r>
    <n v="103027"/>
    <n v="120057"/>
    <x v="4"/>
    <n v="2"/>
    <s v="50-99"/>
    <x v="1"/>
  </r>
  <r>
    <n v="103028"/>
    <n v="120058"/>
    <x v="2"/>
    <n v="5"/>
    <s v="100-150"/>
    <x v="0"/>
  </r>
  <r>
    <n v="103029"/>
    <n v="120059"/>
    <x v="6"/>
    <n v="3"/>
    <s v="Below 50"/>
    <x v="3"/>
  </r>
  <r>
    <n v="103030"/>
    <n v="120060"/>
    <x v="4"/>
    <n v="4"/>
    <s v="50-99"/>
    <x v="1"/>
  </r>
  <r>
    <n v="103031"/>
    <n v="120061"/>
    <x v="4"/>
    <n v="1"/>
    <s v="Above 150"/>
    <x v="2"/>
  </r>
  <r>
    <n v="103032"/>
    <n v="120062"/>
    <x v="3"/>
    <n v="4"/>
    <s v="Below 50"/>
    <x v="0"/>
  </r>
  <r>
    <n v="103033"/>
    <n v="120063"/>
    <x v="5"/>
    <n v="3"/>
    <s v="50-99"/>
    <x v="0"/>
  </r>
  <r>
    <n v="103034"/>
    <n v="120064"/>
    <x v="4"/>
    <n v="4"/>
    <s v="Above 150"/>
    <x v="0"/>
  </r>
  <r>
    <n v="103035"/>
    <n v="120065"/>
    <x v="5"/>
    <n v="2"/>
    <s v="50-99"/>
    <x v="0"/>
  </r>
  <r>
    <n v="103036"/>
    <n v="120066"/>
    <x v="5"/>
    <n v="2"/>
    <s v="100-150"/>
    <x v="0"/>
  </r>
  <r>
    <n v="103037"/>
    <n v="120067"/>
    <x v="3"/>
    <n v="3"/>
    <s v="50-99"/>
    <x v="1"/>
  </r>
  <r>
    <n v="103038"/>
    <n v="120068"/>
    <x v="0"/>
    <n v="1"/>
    <s v="100-150"/>
    <x v="0"/>
  </r>
  <r>
    <n v="103039"/>
    <n v="120069"/>
    <x v="1"/>
    <n v="2"/>
    <s v="50-99"/>
    <x v="0"/>
  </r>
  <r>
    <n v="103040"/>
    <n v="120070"/>
    <x v="5"/>
    <n v="5"/>
    <s v="100-150"/>
    <x v="2"/>
  </r>
  <r>
    <n v="103041"/>
    <n v="120071"/>
    <x v="1"/>
    <n v="3"/>
    <s v="100-150"/>
    <x v="0"/>
  </r>
  <r>
    <n v="103042"/>
    <n v="120072"/>
    <x v="2"/>
    <n v="4"/>
    <s v="Above 150"/>
    <x v="0"/>
  </r>
  <r>
    <n v="103043"/>
    <n v="120073"/>
    <x v="0"/>
    <n v="1"/>
    <s v="50-99"/>
    <x v="1"/>
  </r>
  <r>
    <n v="103044"/>
    <n v="120074"/>
    <x v="3"/>
    <n v="4"/>
    <s v="50-99"/>
    <x v="2"/>
  </r>
  <r>
    <n v="103045"/>
    <n v="120075"/>
    <x v="1"/>
    <n v="2"/>
    <s v="50-99"/>
    <x v="0"/>
  </r>
  <r>
    <n v="103046"/>
    <n v="120076"/>
    <x v="4"/>
    <n v="4"/>
    <s v="50-99"/>
    <x v="0"/>
  </r>
  <r>
    <n v="103047"/>
    <n v="120077"/>
    <x v="3"/>
    <n v="4"/>
    <s v="50-99"/>
    <x v="0"/>
  </r>
  <r>
    <n v="103048"/>
    <n v="120078"/>
    <x v="6"/>
    <n v="3"/>
    <s v="100-150"/>
    <x v="0"/>
  </r>
  <r>
    <n v="103049"/>
    <n v="120079"/>
    <x v="1"/>
    <n v="4"/>
    <s v="50-99"/>
    <x v="0"/>
  </r>
  <r>
    <n v="103050"/>
    <n v="120080"/>
    <x v="1"/>
    <n v="5"/>
    <s v="50-99"/>
    <x v="2"/>
  </r>
  <r>
    <n v="103051"/>
    <n v="120081"/>
    <x v="2"/>
    <n v="3"/>
    <s v="Above 150"/>
    <x v="1"/>
  </r>
  <r>
    <n v="103052"/>
    <n v="120082"/>
    <x v="1"/>
    <n v="3"/>
    <s v="100-150"/>
    <x v="0"/>
  </r>
  <r>
    <n v="103053"/>
    <n v="120083"/>
    <x v="3"/>
    <n v="2"/>
    <s v="100-150"/>
    <x v="3"/>
  </r>
  <r>
    <n v="103054"/>
    <n v="120084"/>
    <x v="1"/>
    <n v="2"/>
    <s v="50-99"/>
    <x v="1"/>
  </r>
  <r>
    <n v="103055"/>
    <n v="120085"/>
    <x v="2"/>
    <n v="5"/>
    <s v="Above 150"/>
    <x v="0"/>
  </r>
  <r>
    <n v="103056"/>
    <n v="120086"/>
    <x v="3"/>
    <n v="1"/>
    <s v="50-99"/>
    <x v="0"/>
  </r>
  <r>
    <n v="103057"/>
    <n v="120087"/>
    <x v="1"/>
    <n v="1"/>
    <s v="50-99"/>
    <x v="2"/>
  </r>
  <r>
    <n v="103058"/>
    <n v="120088"/>
    <x v="3"/>
    <n v="3"/>
    <s v="100-150"/>
    <x v="0"/>
  </r>
  <r>
    <n v="103059"/>
    <n v="120089"/>
    <x v="1"/>
    <n v="4"/>
    <s v="50-99"/>
    <x v="0"/>
  </r>
  <r>
    <n v="103060"/>
    <n v="120090"/>
    <x v="3"/>
    <n v="4"/>
    <s v="50-99"/>
    <x v="0"/>
  </r>
  <r>
    <n v="103061"/>
    <n v="120091"/>
    <x v="0"/>
    <n v="4"/>
    <s v="100-150"/>
    <x v="2"/>
  </r>
  <r>
    <n v="103062"/>
    <n v="120092"/>
    <x v="1"/>
    <n v="4"/>
    <s v="100-150"/>
    <x v="0"/>
  </r>
  <r>
    <n v="103063"/>
    <n v="120093"/>
    <x v="1"/>
    <n v="4"/>
    <s v="50-99"/>
    <x v="0"/>
  </r>
  <r>
    <n v="103064"/>
    <n v="120094"/>
    <x v="0"/>
    <n v="2"/>
    <s v="50-99"/>
    <x v="2"/>
  </r>
  <r>
    <n v="103065"/>
    <n v="120095"/>
    <x v="3"/>
    <n v="4"/>
    <s v="50-99"/>
    <x v="0"/>
  </r>
  <r>
    <n v="103066"/>
    <n v="120096"/>
    <x v="3"/>
    <n v="3"/>
    <s v="50-99"/>
    <x v="2"/>
  </r>
  <r>
    <n v="103067"/>
    <n v="120097"/>
    <x v="4"/>
    <n v="2"/>
    <s v="Below 50"/>
    <x v="1"/>
  </r>
  <r>
    <n v="103068"/>
    <n v="120098"/>
    <x v="0"/>
    <n v="4"/>
    <s v="100-150"/>
    <x v="3"/>
  </r>
  <r>
    <n v="103069"/>
    <n v="120099"/>
    <x v="0"/>
    <n v="4"/>
    <s v="Below 50"/>
    <x v="0"/>
  </r>
  <r>
    <n v="103070"/>
    <n v="120100"/>
    <x v="4"/>
    <n v="2"/>
    <s v="50-99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120031"/>
    <s v="Aniruddh Issac"/>
    <x v="0"/>
    <x v="0"/>
    <s v="CT117"/>
    <x v="0"/>
    <x v="0"/>
  </r>
  <r>
    <n v="120032"/>
    <s v="Trisha Rout"/>
    <x v="1"/>
    <x v="1"/>
    <s v="CT118"/>
    <x v="0"/>
    <x v="1"/>
  </r>
  <r>
    <n v="120033"/>
    <s v="Yuvraj  Virk"/>
    <x v="0"/>
    <x v="1"/>
    <s v="CT116"/>
    <x v="1"/>
    <x v="1"/>
  </r>
  <r>
    <n v="120034"/>
    <s v="Pranay Chand"/>
    <x v="2"/>
    <x v="0"/>
    <s v="CT113"/>
    <x v="1"/>
    <x v="1"/>
  </r>
  <r>
    <n v="120035"/>
    <s v="Mohanlal Joshi"/>
    <x v="1"/>
    <x v="0"/>
    <s v="CT120"/>
    <x v="0"/>
    <x v="2"/>
  </r>
  <r>
    <n v="120036"/>
    <s v="Zeeshan Ratta"/>
    <x v="1"/>
    <x v="0"/>
    <s v="CT118"/>
    <x v="0"/>
    <x v="3"/>
  </r>
  <r>
    <n v="120037"/>
    <s v="Oorja Anne"/>
    <x v="1"/>
    <x v="1"/>
    <s v="CT112"/>
    <x v="1"/>
    <x v="3"/>
  </r>
  <r>
    <n v="120038"/>
    <s v="Rhea Khanna"/>
    <x v="1"/>
    <x v="1"/>
    <s v="CT116"/>
    <x v="1"/>
    <x v="4"/>
  </r>
  <r>
    <n v="120039"/>
    <s v="Zara Joshi"/>
    <x v="3"/>
    <x v="1"/>
    <s v="CT116"/>
    <x v="1"/>
    <x v="4"/>
  </r>
  <r>
    <n v="120040"/>
    <s v="Sana Dhawan"/>
    <x v="1"/>
    <x v="0"/>
    <s v="CT116"/>
    <x v="1"/>
    <x v="2"/>
  </r>
  <r>
    <n v="120041"/>
    <s v="Misha Warrior"/>
    <x v="1"/>
    <x v="0"/>
    <s v="CT113"/>
    <x v="1"/>
    <x v="5"/>
  </r>
  <r>
    <n v="120042"/>
    <s v="Kiara Chander"/>
    <x v="1"/>
    <x v="0"/>
    <s v="CT112"/>
    <x v="1"/>
    <x v="6"/>
  </r>
  <r>
    <n v="120043"/>
    <s v="Kimaya Borde"/>
    <x v="1"/>
    <x v="1"/>
    <s v="CT113"/>
    <x v="1"/>
    <x v="4"/>
  </r>
  <r>
    <n v="120044"/>
    <s v="Tushar Malhotra"/>
    <x v="1"/>
    <x v="1"/>
    <s v="CT112"/>
    <x v="1"/>
    <x v="6"/>
  </r>
  <r>
    <n v="120045"/>
    <s v="Azad Gera"/>
    <x v="4"/>
    <x v="1"/>
    <s v="CT113"/>
    <x v="1"/>
    <x v="1"/>
  </r>
  <r>
    <n v="120046"/>
    <s v="Aarav Bath"/>
    <x v="1"/>
    <x v="1"/>
    <s v="CT114"/>
    <x v="1"/>
    <x v="1"/>
  </r>
  <r>
    <n v="120047"/>
    <s v="Ojas Char"/>
    <x v="1"/>
    <x v="1"/>
    <s v="CT112"/>
    <x v="1"/>
    <x v="5"/>
  </r>
  <r>
    <n v="120048"/>
    <s v="Advik Baria"/>
    <x v="1"/>
    <x v="1"/>
    <s v="CT116"/>
    <x v="1"/>
    <x v="2"/>
  </r>
  <r>
    <n v="120049"/>
    <s v="Dhruv Loyal"/>
    <x v="1"/>
    <x v="0"/>
    <s v="CT113"/>
    <x v="1"/>
    <x v="1"/>
  </r>
  <r>
    <n v="120050"/>
    <s v="Dharmajan Doshi"/>
    <x v="2"/>
    <x v="0"/>
    <s v="CT114"/>
    <x v="1"/>
    <x v="6"/>
  </r>
  <r>
    <n v="120051"/>
    <s v="Diya Srinivas"/>
    <x v="1"/>
    <x v="1"/>
    <s v="CT118"/>
    <x v="0"/>
    <x v="4"/>
  </r>
  <r>
    <n v="120052"/>
    <s v="Alia Lala"/>
    <x v="2"/>
    <x v="2"/>
    <s v="CT112"/>
    <x v="1"/>
    <x v="4"/>
  </r>
  <r>
    <n v="120053"/>
    <s v="Samaira Lad"/>
    <x v="1"/>
    <x v="1"/>
    <s v="CT112"/>
    <x v="1"/>
    <x v="3"/>
  </r>
  <r>
    <n v="120054"/>
    <s v="Pari Subramaniam"/>
    <x v="1"/>
    <x v="1"/>
    <s v="CT114"/>
    <x v="1"/>
    <x v="1"/>
  </r>
  <r>
    <n v="120055"/>
    <s v="Umang Sarkar"/>
    <x v="2"/>
    <x v="2"/>
    <s v="CT117"/>
    <x v="0"/>
    <x v="3"/>
  </r>
  <r>
    <n v="120056"/>
    <s v="Rhea Kar"/>
    <x v="1"/>
    <x v="1"/>
    <s v="CT118"/>
    <x v="0"/>
    <x v="3"/>
  </r>
  <r>
    <n v="120057"/>
    <s v="Kanav Thaman"/>
    <x v="1"/>
    <x v="1"/>
    <s v="CT117"/>
    <x v="0"/>
    <x v="4"/>
  </r>
  <r>
    <n v="120058"/>
    <s v="Biju Bera"/>
    <x v="1"/>
    <x v="0"/>
    <s v="CT119"/>
    <x v="0"/>
    <x v="2"/>
  </r>
  <r>
    <n v="120059"/>
    <s v="Sana Bumb"/>
    <x v="1"/>
    <x v="1"/>
    <s v="CT113"/>
    <x v="1"/>
    <x v="6"/>
  </r>
  <r>
    <n v="120060"/>
    <s v="Piya Sani"/>
    <x v="1"/>
    <x v="1"/>
    <s v="CT118"/>
    <x v="0"/>
    <x v="4"/>
  </r>
  <r>
    <n v="120061"/>
    <s v="Yuvaan Kari"/>
    <x v="1"/>
    <x v="1"/>
    <s v="CT116"/>
    <x v="1"/>
    <x v="4"/>
  </r>
  <r>
    <n v="120062"/>
    <s v="Tanya Deshmukh"/>
    <x v="1"/>
    <x v="1"/>
    <s v="CT116"/>
    <x v="1"/>
    <x v="3"/>
  </r>
  <r>
    <n v="120063"/>
    <s v="Diya Sunder"/>
    <x v="1"/>
    <x v="1"/>
    <s v="CT114"/>
    <x v="1"/>
    <x v="5"/>
  </r>
  <r>
    <n v="120064"/>
    <s v="Shanaya Kadakia"/>
    <x v="0"/>
    <x v="1"/>
    <s v="CT118"/>
    <x v="0"/>
    <x v="4"/>
  </r>
  <r>
    <n v="120065"/>
    <s v="Shamik Chaudry"/>
    <x v="1"/>
    <x v="1"/>
    <s v="CT115"/>
    <x v="0"/>
    <x v="5"/>
  </r>
  <r>
    <n v="120066"/>
    <s v="Yashvi Deo"/>
    <x v="1"/>
    <x v="0"/>
    <s v="CT116"/>
    <x v="1"/>
    <x v="5"/>
  </r>
  <r>
    <n v="120067"/>
    <s v="Eshani Bahl"/>
    <x v="4"/>
    <x v="1"/>
    <s v="CT118"/>
    <x v="0"/>
    <x v="3"/>
  </r>
  <r>
    <n v="120068"/>
    <s v="Anahi Ganguly"/>
    <x v="0"/>
    <x v="0"/>
    <s v="CT116"/>
    <x v="1"/>
    <x v="0"/>
  </r>
  <r>
    <n v="120069"/>
    <s v="Kismat Lata"/>
    <x v="1"/>
    <x v="0"/>
    <s v="CT112"/>
    <x v="1"/>
    <x v="1"/>
  </r>
  <r>
    <n v="120070"/>
    <s v="Anya Gill"/>
    <x v="2"/>
    <x v="1"/>
    <s v="CT116"/>
    <x v="1"/>
    <x v="5"/>
  </r>
  <r>
    <n v="120071"/>
    <s v="Pranay Tella"/>
    <x v="0"/>
    <x v="0"/>
    <s v="CT113"/>
    <x v="1"/>
    <x v="1"/>
  </r>
  <r>
    <n v="120072"/>
    <s v="Parinaaz Goel"/>
    <x v="3"/>
    <x v="2"/>
    <s v="CT118"/>
    <x v="0"/>
    <x v="2"/>
  </r>
  <r>
    <n v="120073"/>
    <s v="Divit Gandhi"/>
    <x v="1"/>
    <x v="0"/>
    <s v="CT116"/>
    <x v="1"/>
    <x v="0"/>
  </r>
  <r>
    <n v="120074"/>
    <s v="Saanvi Reddy"/>
    <x v="1"/>
    <x v="0"/>
    <s v="CT112"/>
    <x v="1"/>
    <x v="3"/>
  </r>
  <r>
    <n v="120075"/>
    <s v="Jhanvi Samra"/>
    <x v="2"/>
    <x v="1"/>
    <s v="CT113"/>
    <x v="1"/>
    <x v="1"/>
  </r>
  <r>
    <n v="120076"/>
    <s v="Ryan Dasgupta"/>
    <x v="1"/>
    <x v="1"/>
    <s v="CT113"/>
    <x v="1"/>
    <x v="4"/>
  </r>
  <r>
    <n v="120077"/>
    <s v="Tarini Acharya"/>
    <x v="1"/>
    <x v="1"/>
    <s v="CT116"/>
    <x v="1"/>
    <x v="3"/>
  </r>
  <r>
    <n v="120078"/>
    <s v="Suhana Ramakrishnan"/>
    <x v="1"/>
    <x v="0"/>
    <s v="CT117"/>
    <x v="0"/>
    <x v="6"/>
  </r>
  <r>
    <n v="120079"/>
    <s v="Heer Suri"/>
    <x v="2"/>
    <x v="0"/>
    <s v="CT113"/>
    <x v="1"/>
    <x v="1"/>
  </r>
  <r>
    <n v="120080"/>
    <s v="Sana Mand"/>
    <x v="1"/>
    <x v="1"/>
    <s v="CT113"/>
    <x v="1"/>
    <x v="1"/>
  </r>
  <r>
    <n v="120081"/>
    <s v="Ishaan Sengupta"/>
    <x v="1"/>
    <x v="0"/>
    <s v="CT120"/>
    <x v="0"/>
    <x v="2"/>
  </r>
  <r>
    <n v="120082"/>
    <s v="Abram Khatri"/>
    <x v="2"/>
    <x v="0"/>
    <s v="CT113"/>
    <x v="1"/>
    <x v="1"/>
  </r>
  <r>
    <n v="120083"/>
    <s v="Anahita Sidhu"/>
    <x v="2"/>
    <x v="0"/>
    <s v="CT113"/>
    <x v="1"/>
    <x v="3"/>
  </r>
  <r>
    <n v="120084"/>
    <s v="Myra Ganesan"/>
    <x v="0"/>
    <x v="1"/>
    <s v="CT112"/>
    <x v="1"/>
    <x v="1"/>
  </r>
  <r>
    <n v="120085"/>
    <s v="Nirvaan Loyal"/>
    <x v="1"/>
    <x v="1"/>
    <s v="CT112"/>
    <x v="1"/>
    <x v="2"/>
  </r>
  <r>
    <n v="120086"/>
    <s v="Veer Brahmbhatt"/>
    <x v="2"/>
    <x v="1"/>
    <s v="CT119"/>
    <x v="0"/>
    <x v="3"/>
  </r>
  <r>
    <n v="120087"/>
    <s v="Kaira Bhardwaj"/>
    <x v="0"/>
    <x v="0"/>
    <s v="CT113"/>
    <x v="1"/>
    <x v="1"/>
  </r>
  <r>
    <n v="120088"/>
    <s v="Heer Ganesan"/>
    <x v="2"/>
    <x v="1"/>
    <s v="CT116"/>
    <x v="1"/>
    <x v="3"/>
  </r>
  <r>
    <n v="120089"/>
    <s v="Lakshit Bassi"/>
    <x v="0"/>
    <x v="1"/>
    <s v="CT116"/>
    <x v="1"/>
    <x v="1"/>
  </r>
  <r>
    <n v="120090"/>
    <s v="Rasha Bhavsar"/>
    <x v="1"/>
    <x v="1"/>
    <s v="CT113"/>
    <x v="1"/>
    <x v="3"/>
  </r>
  <r>
    <n v="120091"/>
    <s v="Advik Ratti"/>
    <x v="2"/>
    <x v="0"/>
    <s v="CT116"/>
    <x v="1"/>
    <x v="0"/>
  </r>
  <r>
    <n v="120092"/>
    <s v="Baiju Sane"/>
    <x v="1"/>
    <x v="1"/>
    <s v="CT113"/>
    <x v="1"/>
    <x v="1"/>
  </r>
  <r>
    <n v="120093"/>
    <s v="Shayak Sane"/>
    <x v="2"/>
    <x v="0"/>
    <s v="CT118"/>
    <x v="0"/>
    <x v="1"/>
  </r>
  <r>
    <n v="120094"/>
    <s v="Armaan Bassi"/>
    <x v="2"/>
    <x v="2"/>
    <s v="CT111"/>
    <x v="1"/>
    <x v="0"/>
  </r>
  <r>
    <n v="120095"/>
    <s v="Darshit Sami"/>
    <x v="1"/>
    <x v="1"/>
    <s v="CT113"/>
    <x v="1"/>
    <x v="3"/>
  </r>
  <r>
    <n v="120096"/>
    <s v="Advika Borah"/>
    <x v="1"/>
    <x v="1"/>
    <s v="CT113"/>
    <x v="1"/>
    <x v="3"/>
  </r>
  <r>
    <n v="120097"/>
    <s v="Sumer Sandal"/>
    <x v="0"/>
    <x v="0"/>
    <s v="CT112"/>
    <x v="1"/>
    <x v="4"/>
  </r>
  <r>
    <n v="120098"/>
    <s v="Saira Sridhar"/>
    <x v="1"/>
    <x v="1"/>
    <s v="CT117"/>
    <x v="0"/>
    <x v="0"/>
  </r>
  <r>
    <n v="120099"/>
    <s v="Ivana Bhatti"/>
    <x v="0"/>
    <x v="2"/>
    <s v="CT118"/>
    <x v="0"/>
    <x v="0"/>
  </r>
  <r>
    <n v="120100"/>
    <s v="Divyansh Bhatt"/>
    <x v="1"/>
    <x v="1"/>
    <s v="CT114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Analysis 3" cacheId="6" applyNumberFormats="0" applyBorderFormats="0" applyFontFormats="0" applyPatternFormats="0" applyAlignmentFormats="0" applyWidthHeightFormats="0" dataCaption="" updatedVersion="8" compact="0" compactData="0">
  <location ref="A23:B31" firstHeaderRow="1" firstDataRow="1" firstDataCol="1"/>
  <pivotFields count="6">
    <pivotField name="Response_ID" compact="0" outline="0" multipleItemSelectionAllowed="1" showAll="0"/>
    <pivotField name="Respondent_ID" compact="0" outline="0" multipleItemSelectionAllowed="1" showAll="0"/>
    <pivotField name="Current_brands" axis="axisRow" compact="0" outline="0" multipleItemSelectionAllowed="1" showAll="0" sortType="ascending">
      <items count="8">
        <item x="1"/>
        <item x="0"/>
        <item x="5"/>
        <item x="3"/>
        <item x="4"/>
        <item x="6"/>
        <item x="2"/>
        <item t="default"/>
      </items>
    </pivotField>
    <pivotField name="Taste_experience" dataField="1" compact="0" outline="0" multipleItemSelectionAllowed="1" showAll="0"/>
    <pivotField name="Price_range" compact="0" outline="0" multipleItemSelectionAllowed="1" showAll="0"/>
    <pivotField name="Purchase_location" compact="0" outline="0" multipleItemSelectionAllowe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aste_experience" fld="3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Analysis 4" cacheId="6" applyNumberFormats="0" applyBorderFormats="0" applyFontFormats="0" applyPatternFormats="0" applyAlignmentFormats="0" applyWidthHeightFormats="0" dataCaption="" updatedVersion="8" compact="0" compactData="0">
  <location ref="A35:B41" firstHeaderRow="1" firstDataRow="1" firstDataCol="1"/>
  <pivotFields count="6">
    <pivotField name="Response_ID" compact="0" outline="0" multipleItemSelectionAllowed="1" showAll="0"/>
    <pivotField name="Respondent_ID" compact="0" outline="0" multipleItemSelectionAllowed="1" showAll="0"/>
    <pivotField name="Current_brands" compact="0" outline="0" multipleItemSelectionAllowed="1" showAll="0"/>
    <pivotField name="Taste_experience" dataField="1" compact="0" outline="0" multipleItemSelectionAllowed="1" showAll="0"/>
    <pivotField name="Price_range" compact="0" outline="0" multipleItemSelectionAllowed="1" showAll="0"/>
    <pivotField name="Purchase_location" axis="axisRow" compact="0" outline="0" multipleItemSelectionAllowed="1" showAll="0" sortType="ascending">
      <items count="6">
        <item x="2"/>
        <item x="4"/>
        <item x="1"/>
        <item x="3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aste_experience" fld="3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Analysis 5" cacheId="13" applyNumberFormats="0" applyBorderFormats="0" applyFontFormats="0" applyPatternFormats="0" applyAlignmentFormats="0" applyWidthHeightFormats="0" dataCaption="" updatedVersion="8" compact="0" compactData="0">
  <location ref="A45:G54" firstHeaderRow="1" firstDataRow="2" firstDataCol="1"/>
  <pivotFields count="7">
    <pivotField name="Respondent_ID" dataField="1" compact="0" outline="0" multipleItemSelectionAllowed="1" showAll="0"/>
    <pivotField name="Name" compact="0" outline="0" multipleItemSelectionAllowed="1" showAll="0"/>
    <pivotField name="Age" axis="axisCol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Gender" compact="0" outline="0" multipleItemSelectionAllowed="1" showAll="0"/>
    <pivotField name="City_ID" compact="0" outline="0" multipleItemSelectionAllowed="1" showAll="0"/>
    <pivotField name="Tier" compact="0" outline="0" multipleItemSelectionAllowed="1" showAll="0"/>
    <pivotField name="Brands" axis="axisRow" compact="0" outline="0" multipleItemSelectionAllowed="1" showAll="0" sortType="ascending">
      <items count="8">
        <item x="1"/>
        <item x="0"/>
        <item x="5"/>
        <item x="3"/>
        <item x="4"/>
        <item x="6"/>
        <item x="2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spondent_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nalysis" cacheId="13" applyNumberFormats="0" applyBorderFormats="0" applyFontFormats="0" applyPatternFormats="0" applyAlignmentFormats="0" applyWidthHeightFormats="0" dataCaption="" updatedVersion="8" compact="0" compactData="0">
  <location ref="A7:B10" firstHeaderRow="1" firstDataRow="1" firstDataCol="1"/>
  <pivotFields count="7">
    <pivotField name="Respondent_ID" dataField="1" compact="0" outline="0" multipleItemSelectionAllowed="1" showAll="0"/>
    <pivotField name="Name" compact="0" outline="0" multipleItemSelectionAllowed="1" showAll="0"/>
    <pivotField name="Age" compact="0" outline="0" multipleItemSelectionAllowed="1" showAll="0"/>
    <pivotField name="Gender" compact="0" outline="0" multipleItemSelectionAllowed="1" showAll="0"/>
    <pivotField name="City_ID" compact="0" outline="0" multipleItemSelectionAllowed="1" showAll="0"/>
    <pivotField name="Tier" axis="axisRow" compact="0" outline="0" multipleItemSelectionAllowed="1" showAll="0" sortType="ascending">
      <items count="3">
        <item x="1"/>
        <item x="0"/>
        <item t="default"/>
      </items>
    </pivotField>
    <pivotField name="Brands" compact="0" outline="0" multipleItemSelectionAllowe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Respondent_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Analysis 2" cacheId="13" applyNumberFormats="0" applyBorderFormats="0" applyFontFormats="0" applyPatternFormats="0" applyAlignmentFormats="0" applyWidthHeightFormats="0" dataCaption="" updatedVersion="8" compact="0" compactData="0">
  <location ref="A14:G19" firstHeaderRow="1" firstDataRow="2" firstDataCol="1"/>
  <pivotFields count="7">
    <pivotField name="Respondent_ID" dataField="1" compact="0" outline="0" multipleItemSelectionAllowed="1" showAll="0"/>
    <pivotField name="Name" compact="0" outline="0" multipleItemSelectionAllowed="1" showAll="0"/>
    <pivotField name="Age" axis="axisCol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Gender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City_ID" compact="0" outline="0" multipleItemSelectionAllowed="1" showAll="0"/>
    <pivotField name="Tier" compact="0" outline="0" multipleItemSelectionAllowed="1" showAll="0"/>
    <pivotField name="Brands" compact="0" outline="0" multipleItemSelectionAllowe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spondent_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G71"/>
  <sheetViews>
    <sheetView workbookViewId="0"/>
  </sheetViews>
  <sheetFormatPr defaultColWidth="12.5703125" defaultRowHeight="15.75" customHeight="1" x14ac:dyDescent="0.2"/>
  <cols>
    <col min="1" max="1" width="14.7109375" bestFit="1" customWidth="1"/>
  </cols>
  <sheetData>
    <row r="1" spans="1:7" x14ac:dyDescent="0.2">
      <c r="A1" s="4" t="s">
        <v>2</v>
      </c>
      <c r="B1" s="4" t="s">
        <v>43</v>
      </c>
      <c r="C1" s="4" t="s">
        <v>44</v>
      </c>
      <c r="D1" s="4" t="s">
        <v>45</v>
      </c>
      <c r="E1" s="4" t="s">
        <v>1</v>
      </c>
      <c r="F1" s="4" t="s">
        <v>8</v>
      </c>
      <c r="G1" s="4" t="s">
        <v>46</v>
      </c>
    </row>
    <row r="2" spans="1:7" x14ac:dyDescent="0.2">
      <c r="A2" s="5">
        <v>120031</v>
      </c>
      <c r="B2" s="5" t="s">
        <v>49</v>
      </c>
      <c r="C2" s="5" t="s">
        <v>50</v>
      </c>
      <c r="D2" s="5" t="s">
        <v>51</v>
      </c>
      <c r="E2" s="5" t="s">
        <v>31</v>
      </c>
      <c r="F2" s="5" t="str">
        <f>VLOOKUP(E2,dim_cities!$A$1:$C$11,3)</f>
        <v>Tier 2</v>
      </c>
      <c r="G2" s="5" t="str">
        <f>VLOOKUP(A2,fact_survey_responses!$B$1:$F$71,2)</f>
        <v>Blue Bull</v>
      </c>
    </row>
    <row r="3" spans="1:7" x14ac:dyDescent="0.2">
      <c r="A3" s="5">
        <v>120032</v>
      </c>
      <c r="B3" s="5" t="s">
        <v>56</v>
      </c>
      <c r="C3" s="5" t="s">
        <v>57</v>
      </c>
      <c r="D3" s="5" t="s">
        <v>58</v>
      </c>
      <c r="E3" s="5" t="s">
        <v>34</v>
      </c>
      <c r="F3" s="5" t="str">
        <f>VLOOKUP(E3,dim_cities!$A$1:$C$11,3)</f>
        <v>Tier 2</v>
      </c>
      <c r="G3" s="5" t="str">
        <f>VLOOKUP(A3,fact_survey_responses!$B$1:$F$71,2)</f>
        <v>Bepsi</v>
      </c>
    </row>
    <row r="4" spans="1:7" x14ac:dyDescent="0.2">
      <c r="A4" s="5">
        <v>120033</v>
      </c>
      <c r="B4" s="5" t="s">
        <v>59</v>
      </c>
      <c r="C4" s="5" t="s">
        <v>50</v>
      </c>
      <c r="D4" s="5" t="s">
        <v>58</v>
      </c>
      <c r="E4" s="5" t="s">
        <v>27</v>
      </c>
      <c r="F4" s="5" t="str">
        <f>VLOOKUP(E4,dim_cities!$A$1:$C$11,3)</f>
        <v>Tier 1</v>
      </c>
      <c r="G4" s="5" t="str">
        <f>VLOOKUP(A4,fact_survey_responses!$B$1:$F$71,2)</f>
        <v>Bepsi</v>
      </c>
    </row>
    <row r="5" spans="1:7" x14ac:dyDescent="0.2">
      <c r="A5" s="5">
        <v>120034</v>
      </c>
      <c r="B5" s="5" t="s">
        <v>60</v>
      </c>
      <c r="C5" s="5" t="s">
        <v>61</v>
      </c>
      <c r="D5" s="5" t="s">
        <v>51</v>
      </c>
      <c r="E5" s="5" t="s">
        <v>18</v>
      </c>
      <c r="F5" s="5" t="str">
        <f>VLOOKUP(E5,dim_cities!$A$1:$C$11,3)</f>
        <v>Tier 1</v>
      </c>
      <c r="G5" s="5" t="str">
        <f>VLOOKUP(A5,fact_survey_responses!$B$1:$F$71,2)</f>
        <v>Bepsi</v>
      </c>
    </row>
    <row r="6" spans="1:7" x14ac:dyDescent="0.2">
      <c r="A6" s="5">
        <v>120035</v>
      </c>
      <c r="B6" s="5" t="s">
        <v>62</v>
      </c>
      <c r="C6" s="5" t="s">
        <v>57</v>
      </c>
      <c r="D6" s="5" t="s">
        <v>51</v>
      </c>
      <c r="E6" s="5" t="s">
        <v>40</v>
      </c>
      <c r="F6" s="5" t="str">
        <f>VLOOKUP(E6,dim_cities!$A$1:$C$11,3)</f>
        <v>Tier 2</v>
      </c>
      <c r="G6" s="5" t="str">
        <f>VLOOKUP(A6,fact_survey_responses!$B$1:$F$71,2)</f>
        <v>Sky 9</v>
      </c>
    </row>
    <row r="7" spans="1:7" x14ac:dyDescent="0.2">
      <c r="A7" s="5">
        <v>120036</v>
      </c>
      <c r="B7" s="5" t="s">
        <v>63</v>
      </c>
      <c r="C7" s="5" t="s">
        <v>57</v>
      </c>
      <c r="D7" s="5" t="s">
        <v>51</v>
      </c>
      <c r="E7" s="5" t="s">
        <v>34</v>
      </c>
      <c r="F7" s="5" t="str">
        <f>VLOOKUP(E7,dim_cities!$A$1:$C$11,3)</f>
        <v>Tier 2</v>
      </c>
      <c r="G7" s="5" t="str">
        <f>VLOOKUP(A7,fact_survey_responses!$B$1:$F$71,2)</f>
        <v>Cola-Coka</v>
      </c>
    </row>
    <row r="8" spans="1:7" x14ac:dyDescent="0.2">
      <c r="A8" s="5">
        <v>120037</v>
      </c>
      <c r="B8" s="5" t="s">
        <v>64</v>
      </c>
      <c r="C8" s="5" t="s">
        <v>57</v>
      </c>
      <c r="D8" s="5" t="s">
        <v>58</v>
      </c>
      <c r="E8" s="5" t="s">
        <v>15</v>
      </c>
      <c r="F8" s="5" t="str">
        <f>VLOOKUP(E8,dim_cities!$A$1:$C$11,3)</f>
        <v>Tier 1</v>
      </c>
      <c r="G8" s="5" t="str">
        <f>VLOOKUP(A8,fact_survey_responses!$B$1:$F$71,2)</f>
        <v>Cola-Coka</v>
      </c>
    </row>
    <row r="9" spans="1:7" x14ac:dyDescent="0.2">
      <c r="A9" s="5">
        <v>120038</v>
      </c>
      <c r="B9" s="5" t="s">
        <v>65</v>
      </c>
      <c r="C9" s="5" t="s">
        <v>57</v>
      </c>
      <c r="D9" s="5" t="s">
        <v>58</v>
      </c>
      <c r="E9" s="5" t="s">
        <v>27</v>
      </c>
      <c r="F9" s="5" t="str">
        <f>VLOOKUP(E9,dim_cities!$A$1:$C$11,3)</f>
        <v>Tier 1</v>
      </c>
      <c r="G9" s="5" t="str">
        <f>VLOOKUP(A9,fact_survey_responses!$B$1:$F$71,2)</f>
        <v>Gangster</v>
      </c>
    </row>
    <row r="10" spans="1:7" x14ac:dyDescent="0.2">
      <c r="A10" s="5">
        <v>120039</v>
      </c>
      <c r="B10" s="5" t="s">
        <v>66</v>
      </c>
      <c r="C10" s="5" t="s">
        <v>67</v>
      </c>
      <c r="D10" s="5" t="s">
        <v>58</v>
      </c>
      <c r="E10" s="5" t="s">
        <v>27</v>
      </c>
      <c r="F10" s="5" t="str">
        <f>VLOOKUP(E10,dim_cities!$A$1:$C$11,3)</f>
        <v>Tier 1</v>
      </c>
      <c r="G10" s="5" t="str">
        <f>VLOOKUP(A10,fact_survey_responses!$B$1:$F$71,2)</f>
        <v>Gangster</v>
      </c>
    </row>
    <row r="11" spans="1:7" x14ac:dyDescent="0.2">
      <c r="A11" s="5">
        <v>120040</v>
      </c>
      <c r="B11" s="5" t="s">
        <v>68</v>
      </c>
      <c r="C11" s="5" t="s">
        <v>57</v>
      </c>
      <c r="D11" s="5" t="s">
        <v>51</v>
      </c>
      <c r="E11" s="5" t="s">
        <v>27</v>
      </c>
      <c r="F11" s="5" t="str">
        <f>VLOOKUP(E11,dim_cities!$A$1:$C$11,3)</f>
        <v>Tier 1</v>
      </c>
      <c r="G11" s="5" t="str">
        <f>VLOOKUP(A11,fact_survey_responses!$B$1:$F$71,2)</f>
        <v>Sky 9</v>
      </c>
    </row>
    <row r="12" spans="1:7" x14ac:dyDescent="0.2">
      <c r="A12" s="5">
        <v>120041</v>
      </c>
      <c r="B12" s="5" t="s">
        <v>69</v>
      </c>
      <c r="C12" s="5" t="s">
        <v>57</v>
      </c>
      <c r="D12" s="5" t="s">
        <v>51</v>
      </c>
      <c r="E12" s="5" t="s">
        <v>18</v>
      </c>
      <c r="F12" s="5" t="str">
        <f>VLOOKUP(E12,dim_cities!$A$1:$C$11,3)</f>
        <v>Tier 1</v>
      </c>
      <c r="G12" s="5" t="str">
        <f>VLOOKUP(A12,fact_survey_responses!$B$1:$F$71,2)</f>
        <v>Codex</v>
      </c>
    </row>
    <row r="13" spans="1:7" x14ac:dyDescent="0.2">
      <c r="A13" s="5">
        <v>120042</v>
      </c>
      <c r="B13" s="5" t="s">
        <v>70</v>
      </c>
      <c r="C13" s="5" t="s">
        <v>57</v>
      </c>
      <c r="D13" s="5" t="s">
        <v>51</v>
      </c>
      <c r="E13" s="5" t="s">
        <v>15</v>
      </c>
      <c r="F13" s="5" t="str">
        <f>VLOOKUP(E13,dim_cities!$A$1:$C$11,3)</f>
        <v>Tier 1</v>
      </c>
      <c r="G13" s="5" t="str">
        <f>VLOOKUP(A13,fact_survey_responses!$B$1:$F$71,2)</f>
        <v>Others</v>
      </c>
    </row>
    <row r="14" spans="1:7" x14ac:dyDescent="0.2">
      <c r="A14" s="5">
        <v>120043</v>
      </c>
      <c r="B14" s="5" t="s">
        <v>71</v>
      </c>
      <c r="C14" s="5" t="s">
        <v>57</v>
      </c>
      <c r="D14" s="5" t="s">
        <v>58</v>
      </c>
      <c r="E14" s="5" t="s">
        <v>18</v>
      </c>
      <c r="F14" s="5" t="str">
        <f>VLOOKUP(E14,dim_cities!$A$1:$C$11,3)</f>
        <v>Tier 1</v>
      </c>
      <c r="G14" s="5" t="str">
        <f>VLOOKUP(A14,fact_survey_responses!$B$1:$F$71,2)</f>
        <v>Gangster</v>
      </c>
    </row>
    <row r="15" spans="1:7" x14ac:dyDescent="0.2">
      <c r="A15" s="5">
        <v>120044</v>
      </c>
      <c r="B15" s="5" t="s">
        <v>74</v>
      </c>
      <c r="C15" s="5" t="s">
        <v>57</v>
      </c>
      <c r="D15" s="5" t="s">
        <v>58</v>
      </c>
      <c r="E15" s="5" t="s">
        <v>15</v>
      </c>
      <c r="F15" s="5" t="str">
        <f>VLOOKUP(E15,dim_cities!$A$1:$C$11,3)</f>
        <v>Tier 1</v>
      </c>
      <c r="G15" s="5" t="str">
        <f>VLOOKUP(A15,fact_survey_responses!$B$1:$F$71,2)</f>
        <v>Others</v>
      </c>
    </row>
    <row r="16" spans="1:7" x14ac:dyDescent="0.2">
      <c r="A16" s="5">
        <v>120045</v>
      </c>
      <c r="B16" s="5" t="s">
        <v>76</v>
      </c>
      <c r="C16" s="5" t="s">
        <v>77</v>
      </c>
      <c r="D16" s="5" t="s">
        <v>58</v>
      </c>
      <c r="E16" s="5" t="s">
        <v>18</v>
      </c>
      <c r="F16" s="5" t="str">
        <f>VLOOKUP(E16,dim_cities!$A$1:$C$11,3)</f>
        <v>Tier 1</v>
      </c>
      <c r="G16" s="5" t="str">
        <f>VLOOKUP(A16,fact_survey_responses!$B$1:$F$71,2)</f>
        <v>Bepsi</v>
      </c>
    </row>
    <row r="17" spans="1:7" x14ac:dyDescent="0.2">
      <c r="A17" s="5">
        <v>120046</v>
      </c>
      <c r="B17" s="5" t="s">
        <v>78</v>
      </c>
      <c r="C17" s="5" t="s">
        <v>57</v>
      </c>
      <c r="D17" s="5" t="s">
        <v>58</v>
      </c>
      <c r="E17" s="5" t="s">
        <v>21</v>
      </c>
      <c r="F17" s="5" t="str">
        <f>VLOOKUP(E17,dim_cities!$A$1:$C$11,3)</f>
        <v>Tier 1</v>
      </c>
      <c r="G17" s="5" t="str">
        <f>VLOOKUP(A17,fact_survey_responses!$B$1:$F$71,2)</f>
        <v>Bepsi</v>
      </c>
    </row>
    <row r="18" spans="1:7" x14ac:dyDescent="0.2">
      <c r="A18" s="5">
        <v>120047</v>
      </c>
      <c r="B18" s="5" t="s">
        <v>79</v>
      </c>
      <c r="C18" s="5" t="s">
        <v>57</v>
      </c>
      <c r="D18" s="5" t="s">
        <v>58</v>
      </c>
      <c r="E18" s="5" t="s">
        <v>15</v>
      </c>
      <c r="F18" s="5" t="str">
        <f>VLOOKUP(E18,dim_cities!$A$1:$C$11,3)</f>
        <v>Tier 1</v>
      </c>
      <c r="G18" s="5" t="str">
        <f>VLOOKUP(A18,fact_survey_responses!$B$1:$F$71,2)</f>
        <v>Codex</v>
      </c>
    </row>
    <row r="19" spans="1:7" x14ac:dyDescent="0.2">
      <c r="A19" s="5">
        <v>120048</v>
      </c>
      <c r="B19" s="5" t="s">
        <v>82</v>
      </c>
      <c r="C19" s="5" t="s">
        <v>57</v>
      </c>
      <c r="D19" s="5" t="s">
        <v>58</v>
      </c>
      <c r="E19" s="5" t="s">
        <v>27</v>
      </c>
      <c r="F19" s="5" t="str">
        <f>VLOOKUP(E19,dim_cities!$A$1:$C$11,3)</f>
        <v>Tier 1</v>
      </c>
      <c r="G19" s="5" t="str">
        <f>VLOOKUP(A19,fact_survey_responses!$B$1:$F$71,2)</f>
        <v>Sky 9</v>
      </c>
    </row>
    <row r="20" spans="1:7" x14ac:dyDescent="0.2">
      <c r="A20" s="5">
        <v>120049</v>
      </c>
      <c r="B20" s="5" t="s">
        <v>83</v>
      </c>
      <c r="C20" s="5" t="s">
        <v>57</v>
      </c>
      <c r="D20" s="5" t="s">
        <v>51</v>
      </c>
      <c r="E20" s="5" t="s">
        <v>18</v>
      </c>
      <c r="F20" s="5" t="str">
        <f>VLOOKUP(E20,dim_cities!$A$1:$C$11,3)</f>
        <v>Tier 1</v>
      </c>
      <c r="G20" s="5" t="str">
        <f>VLOOKUP(A20,fact_survey_responses!$B$1:$F$71,2)</f>
        <v>Bepsi</v>
      </c>
    </row>
    <row r="21" spans="1:7" x14ac:dyDescent="0.2">
      <c r="A21" s="5">
        <v>120050</v>
      </c>
      <c r="B21" s="5" t="s">
        <v>84</v>
      </c>
      <c r="C21" s="5" t="s">
        <v>61</v>
      </c>
      <c r="D21" s="5" t="s">
        <v>51</v>
      </c>
      <c r="E21" s="5" t="s">
        <v>21</v>
      </c>
      <c r="F21" s="5" t="str">
        <f>VLOOKUP(E21,dim_cities!$A$1:$C$11,3)</f>
        <v>Tier 1</v>
      </c>
      <c r="G21" s="5" t="str">
        <f>VLOOKUP(A21,fact_survey_responses!$B$1:$F$71,2)</f>
        <v>Others</v>
      </c>
    </row>
    <row r="22" spans="1:7" x14ac:dyDescent="0.2">
      <c r="A22" s="5">
        <v>120051</v>
      </c>
      <c r="B22" s="5" t="s">
        <v>86</v>
      </c>
      <c r="C22" s="5" t="s">
        <v>57</v>
      </c>
      <c r="D22" s="5" t="s">
        <v>58</v>
      </c>
      <c r="E22" s="5" t="s">
        <v>34</v>
      </c>
      <c r="F22" s="5" t="str">
        <f>VLOOKUP(E22,dim_cities!$A$1:$C$11,3)</f>
        <v>Tier 2</v>
      </c>
      <c r="G22" s="5" t="str">
        <f>VLOOKUP(A22,fact_survey_responses!$B$1:$F$71,2)</f>
        <v>Gangster</v>
      </c>
    </row>
    <row r="23" spans="1:7" x14ac:dyDescent="0.2">
      <c r="A23" s="5">
        <v>120052</v>
      </c>
      <c r="B23" s="5" t="s">
        <v>89</v>
      </c>
      <c r="C23" s="5" t="s">
        <v>61</v>
      </c>
      <c r="D23" s="5" t="s">
        <v>80</v>
      </c>
      <c r="E23" s="5" t="s">
        <v>15</v>
      </c>
      <c r="F23" s="5" t="str">
        <f>VLOOKUP(E23,dim_cities!$A$1:$C$11,3)</f>
        <v>Tier 1</v>
      </c>
      <c r="G23" s="5" t="str">
        <f>VLOOKUP(A23,fact_survey_responses!$B$1:$F$71,2)</f>
        <v>Gangster</v>
      </c>
    </row>
    <row r="24" spans="1:7" x14ac:dyDescent="0.2">
      <c r="A24" s="5">
        <v>120053</v>
      </c>
      <c r="B24" s="5" t="s">
        <v>90</v>
      </c>
      <c r="C24" s="5" t="s">
        <v>57</v>
      </c>
      <c r="D24" s="5" t="s">
        <v>58</v>
      </c>
      <c r="E24" s="5" t="s">
        <v>15</v>
      </c>
      <c r="F24" s="5" t="str">
        <f>VLOOKUP(E24,dim_cities!$A$1:$C$11,3)</f>
        <v>Tier 1</v>
      </c>
      <c r="G24" s="5" t="str">
        <f>VLOOKUP(A24,fact_survey_responses!$B$1:$F$71,2)</f>
        <v>Cola-Coka</v>
      </c>
    </row>
    <row r="25" spans="1:7" x14ac:dyDescent="0.2">
      <c r="A25" s="5">
        <v>120054</v>
      </c>
      <c r="B25" s="5" t="s">
        <v>91</v>
      </c>
      <c r="C25" s="5" t="s">
        <v>57</v>
      </c>
      <c r="D25" s="5" t="s">
        <v>58</v>
      </c>
      <c r="E25" s="5" t="s">
        <v>21</v>
      </c>
      <c r="F25" s="5" t="str">
        <f>VLOOKUP(E25,dim_cities!$A$1:$C$11,3)</f>
        <v>Tier 1</v>
      </c>
      <c r="G25" s="5" t="str">
        <f>VLOOKUP(A25,fact_survey_responses!$B$1:$F$71,2)</f>
        <v>Bepsi</v>
      </c>
    </row>
    <row r="26" spans="1:7" x14ac:dyDescent="0.2">
      <c r="A26" s="5">
        <v>120055</v>
      </c>
      <c r="B26" s="5" t="s">
        <v>94</v>
      </c>
      <c r="C26" s="5" t="s">
        <v>61</v>
      </c>
      <c r="D26" s="5" t="s">
        <v>80</v>
      </c>
      <c r="E26" s="5" t="s">
        <v>31</v>
      </c>
      <c r="F26" s="5" t="str">
        <f>VLOOKUP(E26,dim_cities!$A$1:$C$11,3)</f>
        <v>Tier 2</v>
      </c>
      <c r="G26" s="5" t="str">
        <f>VLOOKUP(A26,fact_survey_responses!$B$1:$F$71,2)</f>
        <v>Cola-Coka</v>
      </c>
    </row>
    <row r="27" spans="1:7" x14ac:dyDescent="0.2">
      <c r="A27" s="5">
        <v>120056</v>
      </c>
      <c r="B27" s="5" t="s">
        <v>96</v>
      </c>
      <c r="C27" s="5" t="s">
        <v>57</v>
      </c>
      <c r="D27" s="5" t="s">
        <v>58</v>
      </c>
      <c r="E27" s="5" t="s">
        <v>34</v>
      </c>
      <c r="F27" s="5" t="str">
        <f>VLOOKUP(E27,dim_cities!$A$1:$C$11,3)</f>
        <v>Tier 2</v>
      </c>
      <c r="G27" s="5" t="str">
        <f>VLOOKUP(A27,fact_survey_responses!$B$1:$F$71,2)</f>
        <v>Cola-Coka</v>
      </c>
    </row>
    <row r="28" spans="1:7" x14ac:dyDescent="0.2">
      <c r="A28" s="5">
        <v>120057</v>
      </c>
      <c r="B28" s="5" t="s">
        <v>97</v>
      </c>
      <c r="C28" s="5" t="s">
        <v>57</v>
      </c>
      <c r="D28" s="5" t="s">
        <v>58</v>
      </c>
      <c r="E28" s="5" t="s">
        <v>31</v>
      </c>
      <c r="F28" s="5" t="str">
        <f>VLOOKUP(E28,dim_cities!$A$1:$C$11,3)</f>
        <v>Tier 2</v>
      </c>
      <c r="G28" s="5" t="str">
        <f>VLOOKUP(A28,fact_survey_responses!$B$1:$F$71,2)</f>
        <v>Gangster</v>
      </c>
    </row>
    <row r="29" spans="1:7" x14ac:dyDescent="0.2">
      <c r="A29" s="5">
        <v>120058</v>
      </c>
      <c r="B29" s="5" t="s">
        <v>98</v>
      </c>
      <c r="C29" s="5" t="s">
        <v>57</v>
      </c>
      <c r="D29" s="5" t="s">
        <v>51</v>
      </c>
      <c r="E29" s="5" t="s">
        <v>37</v>
      </c>
      <c r="F29" s="5" t="str">
        <f>VLOOKUP(E29,dim_cities!$A$1:$C$11,3)</f>
        <v>Tier 2</v>
      </c>
      <c r="G29" s="5" t="str">
        <f>VLOOKUP(A29,fact_survey_responses!$B$1:$F$71,2)</f>
        <v>Sky 9</v>
      </c>
    </row>
    <row r="30" spans="1:7" x14ac:dyDescent="0.2">
      <c r="A30" s="5">
        <v>120059</v>
      </c>
      <c r="B30" s="5" t="s">
        <v>99</v>
      </c>
      <c r="C30" s="5" t="s">
        <v>57</v>
      </c>
      <c r="D30" s="5" t="s">
        <v>58</v>
      </c>
      <c r="E30" s="5" t="s">
        <v>18</v>
      </c>
      <c r="F30" s="5" t="str">
        <f>VLOOKUP(E30,dim_cities!$A$1:$C$11,3)</f>
        <v>Tier 1</v>
      </c>
      <c r="G30" s="5" t="str">
        <f>VLOOKUP(A30,fact_survey_responses!$B$1:$F$71,2)</f>
        <v>Others</v>
      </c>
    </row>
    <row r="31" spans="1:7" x14ac:dyDescent="0.2">
      <c r="A31" s="5">
        <v>120060</v>
      </c>
      <c r="B31" s="5" t="s">
        <v>100</v>
      </c>
      <c r="C31" s="5" t="s">
        <v>57</v>
      </c>
      <c r="D31" s="5" t="s">
        <v>58</v>
      </c>
      <c r="E31" s="5" t="s">
        <v>34</v>
      </c>
      <c r="F31" s="5" t="str">
        <f>VLOOKUP(E31,dim_cities!$A$1:$C$11,3)</f>
        <v>Tier 2</v>
      </c>
      <c r="G31" s="5" t="str">
        <f>VLOOKUP(A31,fact_survey_responses!$B$1:$F$71,2)</f>
        <v>Gangster</v>
      </c>
    </row>
    <row r="32" spans="1:7" x14ac:dyDescent="0.2">
      <c r="A32" s="5">
        <v>120061</v>
      </c>
      <c r="B32" s="5" t="s">
        <v>101</v>
      </c>
      <c r="C32" s="5" t="s">
        <v>57</v>
      </c>
      <c r="D32" s="5" t="s">
        <v>58</v>
      </c>
      <c r="E32" s="5" t="s">
        <v>27</v>
      </c>
      <c r="F32" s="5" t="str">
        <f>VLOOKUP(E32,dim_cities!$A$1:$C$11,3)</f>
        <v>Tier 1</v>
      </c>
      <c r="G32" s="5" t="str">
        <f>VLOOKUP(A32,fact_survey_responses!$B$1:$F$71,2)</f>
        <v>Gangster</v>
      </c>
    </row>
    <row r="33" spans="1:7" x14ac:dyDescent="0.2">
      <c r="A33" s="5">
        <v>120062</v>
      </c>
      <c r="B33" s="5" t="s">
        <v>102</v>
      </c>
      <c r="C33" s="5" t="s">
        <v>57</v>
      </c>
      <c r="D33" s="5" t="s">
        <v>58</v>
      </c>
      <c r="E33" s="5" t="s">
        <v>27</v>
      </c>
      <c r="F33" s="5" t="str">
        <f>VLOOKUP(E33,dim_cities!$A$1:$C$11,3)</f>
        <v>Tier 1</v>
      </c>
      <c r="G33" s="5" t="str">
        <f>VLOOKUP(A33,fact_survey_responses!$B$1:$F$71,2)</f>
        <v>Cola-Coka</v>
      </c>
    </row>
    <row r="34" spans="1:7" x14ac:dyDescent="0.2">
      <c r="A34" s="5">
        <v>120063</v>
      </c>
      <c r="B34" s="5" t="s">
        <v>103</v>
      </c>
      <c r="C34" s="5" t="s">
        <v>57</v>
      </c>
      <c r="D34" s="5" t="s">
        <v>58</v>
      </c>
      <c r="E34" s="5" t="s">
        <v>21</v>
      </c>
      <c r="F34" s="5" t="str">
        <f>VLOOKUP(E34,dim_cities!$A$1:$C$11,3)</f>
        <v>Tier 1</v>
      </c>
      <c r="G34" s="5" t="str">
        <f>VLOOKUP(A34,fact_survey_responses!$B$1:$F$71,2)</f>
        <v>Codex</v>
      </c>
    </row>
    <row r="35" spans="1:7" x14ac:dyDescent="0.2">
      <c r="A35" s="5">
        <v>120064</v>
      </c>
      <c r="B35" s="5" t="s">
        <v>104</v>
      </c>
      <c r="C35" s="5" t="s">
        <v>50</v>
      </c>
      <c r="D35" s="5" t="s">
        <v>58</v>
      </c>
      <c r="E35" s="5" t="s">
        <v>34</v>
      </c>
      <c r="F35" s="5" t="str">
        <f>VLOOKUP(E35,dim_cities!$A$1:$C$11,3)</f>
        <v>Tier 2</v>
      </c>
      <c r="G35" s="5" t="str">
        <f>VLOOKUP(A35,fact_survey_responses!$B$1:$F$71,2)</f>
        <v>Gangster</v>
      </c>
    </row>
    <row r="36" spans="1:7" x14ac:dyDescent="0.2">
      <c r="A36" s="5">
        <v>120065</v>
      </c>
      <c r="B36" s="5" t="s">
        <v>105</v>
      </c>
      <c r="C36" s="5" t="s">
        <v>57</v>
      </c>
      <c r="D36" s="5" t="s">
        <v>58</v>
      </c>
      <c r="E36" s="5" t="s">
        <v>23</v>
      </c>
      <c r="F36" s="5" t="str">
        <f>VLOOKUP(E36,dim_cities!$A$1:$C$11,3)</f>
        <v>Tier 2</v>
      </c>
      <c r="G36" s="5" t="str">
        <f>VLOOKUP(A36,fact_survey_responses!$B$1:$F$71,2)</f>
        <v>Codex</v>
      </c>
    </row>
    <row r="37" spans="1:7" x14ac:dyDescent="0.2">
      <c r="A37" s="5">
        <v>120066</v>
      </c>
      <c r="B37" s="5" t="s">
        <v>106</v>
      </c>
      <c r="C37" s="5" t="s">
        <v>57</v>
      </c>
      <c r="D37" s="5" t="s">
        <v>51</v>
      </c>
      <c r="E37" s="5" t="s">
        <v>27</v>
      </c>
      <c r="F37" s="5" t="str">
        <f>VLOOKUP(E37,dim_cities!$A$1:$C$11,3)</f>
        <v>Tier 1</v>
      </c>
      <c r="G37" s="5" t="str">
        <f>VLOOKUP(A37,fact_survey_responses!$B$1:$F$71,2)</f>
        <v>Codex</v>
      </c>
    </row>
    <row r="38" spans="1:7" x14ac:dyDescent="0.2">
      <c r="A38" s="5">
        <v>120067</v>
      </c>
      <c r="B38" s="5" t="s">
        <v>107</v>
      </c>
      <c r="C38" s="5" t="s">
        <v>77</v>
      </c>
      <c r="D38" s="5" t="s">
        <v>58</v>
      </c>
      <c r="E38" s="5" t="s">
        <v>34</v>
      </c>
      <c r="F38" s="5" t="str">
        <f>VLOOKUP(E38,dim_cities!$A$1:$C$11,3)</f>
        <v>Tier 2</v>
      </c>
      <c r="G38" s="5" t="str">
        <f>VLOOKUP(A38,fact_survey_responses!$B$1:$F$71,2)</f>
        <v>Cola-Coka</v>
      </c>
    </row>
    <row r="39" spans="1:7" x14ac:dyDescent="0.2">
      <c r="A39" s="5">
        <v>120068</v>
      </c>
      <c r="B39" s="5" t="s">
        <v>108</v>
      </c>
      <c r="C39" s="5" t="s">
        <v>50</v>
      </c>
      <c r="D39" s="5" t="s">
        <v>51</v>
      </c>
      <c r="E39" s="5" t="s">
        <v>27</v>
      </c>
      <c r="F39" s="5" t="str">
        <f>VLOOKUP(E39,dim_cities!$A$1:$C$11,3)</f>
        <v>Tier 1</v>
      </c>
      <c r="G39" s="5" t="str">
        <f>VLOOKUP(A39,fact_survey_responses!$B$1:$F$71,2)</f>
        <v>Blue Bull</v>
      </c>
    </row>
    <row r="40" spans="1:7" x14ac:dyDescent="0.2">
      <c r="A40" s="5">
        <v>120069</v>
      </c>
      <c r="B40" s="5" t="s">
        <v>109</v>
      </c>
      <c r="C40" s="5" t="s">
        <v>57</v>
      </c>
      <c r="D40" s="5" t="s">
        <v>51</v>
      </c>
      <c r="E40" s="5" t="s">
        <v>15</v>
      </c>
      <c r="F40" s="5" t="str">
        <f>VLOOKUP(E40,dim_cities!$A$1:$C$11,3)</f>
        <v>Tier 1</v>
      </c>
      <c r="G40" s="5" t="str">
        <f>VLOOKUP(A40,fact_survey_responses!$B$1:$F$71,2)</f>
        <v>Bepsi</v>
      </c>
    </row>
    <row r="41" spans="1:7" x14ac:dyDescent="0.2">
      <c r="A41" s="5">
        <v>120070</v>
      </c>
      <c r="B41" s="5" t="s">
        <v>110</v>
      </c>
      <c r="C41" s="5" t="s">
        <v>61</v>
      </c>
      <c r="D41" s="5" t="s">
        <v>58</v>
      </c>
      <c r="E41" s="5" t="s">
        <v>27</v>
      </c>
      <c r="F41" s="5" t="str">
        <f>VLOOKUP(E41,dim_cities!$A$1:$C$11,3)</f>
        <v>Tier 1</v>
      </c>
      <c r="G41" s="5" t="str">
        <f>VLOOKUP(A41,fact_survey_responses!$B$1:$F$71,2)</f>
        <v>Codex</v>
      </c>
    </row>
    <row r="42" spans="1:7" x14ac:dyDescent="0.2">
      <c r="A42" s="5">
        <v>120071</v>
      </c>
      <c r="B42" s="5" t="s">
        <v>111</v>
      </c>
      <c r="C42" s="5" t="s">
        <v>50</v>
      </c>
      <c r="D42" s="5" t="s">
        <v>51</v>
      </c>
      <c r="E42" s="5" t="s">
        <v>18</v>
      </c>
      <c r="F42" s="5" t="str">
        <f>VLOOKUP(E42,dim_cities!$A$1:$C$11,3)</f>
        <v>Tier 1</v>
      </c>
      <c r="G42" s="5" t="str">
        <f>VLOOKUP(A42,fact_survey_responses!$B$1:$F$71,2)</f>
        <v>Bepsi</v>
      </c>
    </row>
    <row r="43" spans="1:7" x14ac:dyDescent="0.2">
      <c r="A43" s="5">
        <v>120072</v>
      </c>
      <c r="B43" s="5" t="s">
        <v>112</v>
      </c>
      <c r="C43" s="5" t="s">
        <v>67</v>
      </c>
      <c r="D43" s="5" t="s">
        <v>80</v>
      </c>
      <c r="E43" s="5" t="s">
        <v>34</v>
      </c>
      <c r="F43" s="5" t="str">
        <f>VLOOKUP(E43,dim_cities!$A$1:$C$11,3)</f>
        <v>Tier 2</v>
      </c>
      <c r="G43" s="5" t="str">
        <f>VLOOKUP(A43,fact_survey_responses!$B$1:$F$71,2)</f>
        <v>Sky 9</v>
      </c>
    </row>
    <row r="44" spans="1:7" x14ac:dyDescent="0.2">
      <c r="A44" s="5">
        <v>120073</v>
      </c>
      <c r="B44" s="5" t="s">
        <v>113</v>
      </c>
      <c r="C44" s="5" t="s">
        <v>57</v>
      </c>
      <c r="D44" s="5" t="s">
        <v>51</v>
      </c>
      <c r="E44" s="5" t="s">
        <v>27</v>
      </c>
      <c r="F44" s="5" t="str">
        <f>VLOOKUP(E44,dim_cities!$A$1:$C$11,3)</f>
        <v>Tier 1</v>
      </c>
      <c r="G44" s="5" t="str">
        <f>VLOOKUP(A44,fact_survey_responses!$B$1:$F$71,2)</f>
        <v>Blue Bull</v>
      </c>
    </row>
    <row r="45" spans="1:7" x14ac:dyDescent="0.2">
      <c r="A45" s="5">
        <v>120074</v>
      </c>
      <c r="B45" s="5" t="s">
        <v>114</v>
      </c>
      <c r="C45" s="5" t="s">
        <v>57</v>
      </c>
      <c r="D45" s="5" t="s">
        <v>51</v>
      </c>
      <c r="E45" s="5" t="s">
        <v>15</v>
      </c>
      <c r="F45" s="5" t="str">
        <f>VLOOKUP(E45,dim_cities!$A$1:$C$11,3)</f>
        <v>Tier 1</v>
      </c>
      <c r="G45" s="5" t="str">
        <f>VLOOKUP(A45,fact_survey_responses!$B$1:$F$71,2)</f>
        <v>Cola-Coka</v>
      </c>
    </row>
    <row r="46" spans="1:7" x14ac:dyDescent="0.2">
      <c r="A46" s="5">
        <v>120075</v>
      </c>
      <c r="B46" s="5" t="s">
        <v>115</v>
      </c>
      <c r="C46" s="5" t="s">
        <v>61</v>
      </c>
      <c r="D46" s="5" t="s">
        <v>58</v>
      </c>
      <c r="E46" s="5" t="s">
        <v>18</v>
      </c>
      <c r="F46" s="5" t="str">
        <f>VLOOKUP(E46,dim_cities!$A$1:$C$11,3)</f>
        <v>Tier 1</v>
      </c>
      <c r="G46" s="5" t="str">
        <f>VLOOKUP(A46,fact_survey_responses!$B$1:$F$71,2)</f>
        <v>Bepsi</v>
      </c>
    </row>
    <row r="47" spans="1:7" x14ac:dyDescent="0.2">
      <c r="A47" s="5">
        <v>120076</v>
      </c>
      <c r="B47" s="5" t="s">
        <v>116</v>
      </c>
      <c r="C47" s="5" t="s">
        <v>57</v>
      </c>
      <c r="D47" s="5" t="s">
        <v>58</v>
      </c>
      <c r="E47" s="5" t="s">
        <v>18</v>
      </c>
      <c r="F47" s="5" t="str">
        <f>VLOOKUP(E47,dim_cities!$A$1:$C$11,3)</f>
        <v>Tier 1</v>
      </c>
      <c r="G47" s="5" t="str">
        <f>VLOOKUP(A47,fact_survey_responses!$B$1:$F$71,2)</f>
        <v>Gangster</v>
      </c>
    </row>
    <row r="48" spans="1:7" x14ac:dyDescent="0.2">
      <c r="A48" s="5">
        <v>120077</v>
      </c>
      <c r="B48" s="5" t="s">
        <v>117</v>
      </c>
      <c r="C48" s="5" t="s">
        <v>57</v>
      </c>
      <c r="D48" s="5" t="s">
        <v>58</v>
      </c>
      <c r="E48" s="5" t="s">
        <v>27</v>
      </c>
      <c r="F48" s="5" t="str">
        <f>VLOOKUP(E48,dim_cities!$A$1:$C$11,3)</f>
        <v>Tier 1</v>
      </c>
      <c r="G48" s="5" t="str">
        <f>VLOOKUP(A48,fact_survey_responses!$B$1:$F$71,2)</f>
        <v>Cola-Coka</v>
      </c>
    </row>
    <row r="49" spans="1:7" x14ac:dyDescent="0.2">
      <c r="A49" s="5">
        <v>120078</v>
      </c>
      <c r="B49" s="5" t="s">
        <v>118</v>
      </c>
      <c r="C49" s="5" t="s">
        <v>57</v>
      </c>
      <c r="D49" s="5" t="s">
        <v>51</v>
      </c>
      <c r="E49" s="5" t="s">
        <v>31</v>
      </c>
      <c r="F49" s="5" t="str">
        <f>VLOOKUP(E49,dim_cities!$A$1:$C$11,3)</f>
        <v>Tier 2</v>
      </c>
      <c r="G49" s="5" t="str">
        <f>VLOOKUP(A49,fact_survey_responses!$B$1:$F$71,2)</f>
        <v>Others</v>
      </c>
    </row>
    <row r="50" spans="1:7" x14ac:dyDescent="0.2">
      <c r="A50" s="5">
        <v>120079</v>
      </c>
      <c r="B50" s="5" t="s">
        <v>119</v>
      </c>
      <c r="C50" s="5" t="s">
        <v>61</v>
      </c>
      <c r="D50" s="5" t="s">
        <v>51</v>
      </c>
      <c r="E50" s="5" t="s">
        <v>18</v>
      </c>
      <c r="F50" s="5" t="str">
        <f>VLOOKUP(E50,dim_cities!$A$1:$C$11,3)</f>
        <v>Tier 1</v>
      </c>
      <c r="G50" s="5" t="str">
        <f>VLOOKUP(A50,fact_survey_responses!$B$1:$F$71,2)</f>
        <v>Bepsi</v>
      </c>
    </row>
    <row r="51" spans="1:7" x14ac:dyDescent="0.2">
      <c r="A51" s="5">
        <v>120080</v>
      </c>
      <c r="B51" s="5" t="s">
        <v>120</v>
      </c>
      <c r="C51" s="5" t="s">
        <v>57</v>
      </c>
      <c r="D51" s="5" t="s">
        <v>58</v>
      </c>
      <c r="E51" s="5" t="s">
        <v>18</v>
      </c>
      <c r="F51" s="5" t="str">
        <f>VLOOKUP(E51,dim_cities!$A$1:$C$11,3)</f>
        <v>Tier 1</v>
      </c>
      <c r="G51" s="5" t="str">
        <f>VLOOKUP(A51,fact_survey_responses!$B$1:$F$71,2)</f>
        <v>Bepsi</v>
      </c>
    </row>
    <row r="52" spans="1:7" x14ac:dyDescent="0.2">
      <c r="A52" s="5">
        <v>120081</v>
      </c>
      <c r="B52" s="5" t="s">
        <v>121</v>
      </c>
      <c r="C52" s="5" t="s">
        <v>57</v>
      </c>
      <c r="D52" s="5" t="s">
        <v>51</v>
      </c>
      <c r="E52" s="5" t="s">
        <v>40</v>
      </c>
      <c r="F52" s="5" t="str">
        <f>VLOOKUP(E52,dim_cities!$A$1:$C$11,3)</f>
        <v>Tier 2</v>
      </c>
      <c r="G52" s="5" t="str">
        <f>VLOOKUP(A52,fact_survey_responses!$B$1:$F$71,2)</f>
        <v>Sky 9</v>
      </c>
    </row>
    <row r="53" spans="1:7" x14ac:dyDescent="0.2">
      <c r="A53" s="5">
        <v>120082</v>
      </c>
      <c r="B53" s="5" t="s">
        <v>122</v>
      </c>
      <c r="C53" s="5" t="s">
        <v>61</v>
      </c>
      <c r="D53" s="5" t="s">
        <v>51</v>
      </c>
      <c r="E53" s="5" t="s">
        <v>18</v>
      </c>
      <c r="F53" s="5" t="str">
        <f>VLOOKUP(E53,dim_cities!$A$1:$C$11,3)</f>
        <v>Tier 1</v>
      </c>
      <c r="G53" s="5" t="str">
        <f>VLOOKUP(A53,fact_survey_responses!$B$1:$F$71,2)</f>
        <v>Bepsi</v>
      </c>
    </row>
    <row r="54" spans="1:7" x14ac:dyDescent="0.2">
      <c r="A54" s="5">
        <v>120083</v>
      </c>
      <c r="B54" s="5" t="s">
        <v>123</v>
      </c>
      <c r="C54" s="5" t="s">
        <v>61</v>
      </c>
      <c r="D54" s="5" t="s">
        <v>51</v>
      </c>
      <c r="E54" s="5" t="s">
        <v>18</v>
      </c>
      <c r="F54" s="5" t="str">
        <f>VLOOKUP(E54,dim_cities!$A$1:$C$11,3)</f>
        <v>Tier 1</v>
      </c>
      <c r="G54" s="5" t="str">
        <f>VLOOKUP(A54,fact_survey_responses!$B$1:$F$71,2)</f>
        <v>Cola-Coka</v>
      </c>
    </row>
    <row r="55" spans="1:7" x14ac:dyDescent="0.2">
      <c r="A55" s="5">
        <v>120084</v>
      </c>
      <c r="B55" s="5" t="s">
        <v>124</v>
      </c>
      <c r="C55" s="5" t="s">
        <v>50</v>
      </c>
      <c r="D55" s="5" t="s">
        <v>58</v>
      </c>
      <c r="E55" s="5" t="s">
        <v>15</v>
      </c>
      <c r="F55" s="5" t="str">
        <f>VLOOKUP(E55,dim_cities!$A$1:$C$11,3)</f>
        <v>Tier 1</v>
      </c>
      <c r="G55" s="5" t="str">
        <f>VLOOKUP(A55,fact_survey_responses!$B$1:$F$71,2)</f>
        <v>Bepsi</v>
      </c>
    </row>
    <row r="56" spans="1:7" x14ac:dyDescent="0.2">
      <c r="A56" s="5">
        <v>120085</v>
      </c>
      <c r="B56" s="5" t="s">
        <v>125</v>
      </c>
      <c r="C56" s="5" t="s">
        <v>57</v>
      </c>
      <c r="D56" s="5" t="s">
        <v>58</v>
      </c>
      <c r="E56" s="5" t="s">
        <v>15</v>
      </c>
      <c r="F56" s="5" t="str">
        <f>VLOOKUP(E56,dim_cities!$A$1:$C$11,3)</f>
        <v>Tier 1</v>
      </c>
      <c r="G56" s="5" t="str">
        <f>VLOOKUP(A56,fact_survey_responses!$B$1:$F$71,2)</f>
        <v>Sky 9</v>
      </c>
    </row>
    <row r="57" spans="1:7" x14ac:dyDescent="0.2">
      <c r="A57" s="5">
        <v>120086</v>
      </c>
      <c r="B57" s="5" t="s">
        <v>126</v>
      </c>
      <c r="C57" s="5" t="s">
        <v>61</v>
      </c>
      <c r="D57" s="5" t="s">
        <v>58</v>
      </c>
      <c r="E57" s="5" t="s">
        <v>37</v>
      </c>
      <c r="F57" s="5" t="str">
        <f>VLOOKUP(E57,dim_cities!$A$1:$C$11,3)</f>
        <v>Tier 2</v>
      </c>
      <c r="G57" s="5" t="str">
        <f>VLOOKUP(A57,fact_survey_responses!$B$1:$F$71,2)</f>
        <v>Cola-Coka</v>
      </c>
    </row>
    <row r="58" spans="1:7" x14ac:dyDescent="0.2">
      <c r="A58" s="5">
        <v>120087</v>
      </c>
      <c r="B58" s="5" t="s">
        <v>127</v>
      </c>
      <c r="C58" s="5" t="s">
        <v>50</v>
      </c>
      <c r="D58" s="5" t="s">
        <v>51</v>
      </c>
      <c r="E58" s="5" t="s">
        <v>18</v>
      </c>
      <c r="F58" s="5" t="str">
        <f>VLOOKUP(E58,dim_cities!$A$1:$C$11,3)</f>
        <v>Tier 1</v>
      </c>
      <c r="G58" s="5" t="str">
        <f>VLOOKUP(A58,fact_survey_responses!$B$1:$F$71,2)</f>
        <v>Bepsi</v>
      </c>
    </row>
    <row r="59" spans="1:7" x14ac:dyDescent="0.2">
      <c r="A59" s="5">
        <v>120088</v>
      </c>
      <c r="B59" s="5" t="s">
        <v>128</v>
      </c>
      <c r="C59" s="5" t="s">
        <v>61</v>
      </c>
      <c r="D59" s="5" t="s">
        <v>58</v>
      </c>
      <c r="E59" s="5" t="s">
        <v>27</v>
      </c>
      <c r="F59" s="5" t="str">
        <f>VLOOKUP(E59,dim_cities!$A$1:$C$11,3)</f>
        <v>Tier 1</v>
      </c>
      <c r="G59" s="5" t="str">
        <f>VLOOKUP(A59,fact_survey_responses!$B$1:$F$71,2)</f>
        <v>Cola-Coka</v>
      </c>
    </row>
    <row r="60" spans="1:7" x14ac:dyDescent="0.2">
      <c r="A60" s="5">
        <v>120089</v>
      </c>
      <c r="B60" s="5" t="s">
        <v>129</v>
      </c>
      <c r="C60" s="5" t="s">
        <v>50</v>
      </c>
      <c r="D60" s="5" t="s">
        <v>58</v>
      </c>
      <c r="E60" s="5" t="s">
        <v>27</v>
      </c>
      <c r="F60" s="5" t="str">
        <f>VLOOKUP(E60,dim_cities!$A$1:$C$11,3)</f>
        <v>Tier 1</v>
      </c>
      <c r="G60" s="5" t="str">
        <f>VLOOKUP(A60,fact_survey_responses!$B$1:$F$71,2)</f>
        <v>Bepsi</v>
      </c>
    </row>
    <row r="61" spans="1:7" x14ac:dyDescent="0.2">
      <c r="A61" s="5">
        <v>120090</v>
      </c>
      <c r="B61" s="5" t="s">
        <v>130</v>
      </c>
      <c r="C61" s="5" t="s">
        <v>57</v>
      </c>
      <c r="D61" s="5" t="s">
        <v>58</v>
      </c>
      <c r="E61" s="5" t="s">
        <v>18</v>
      </c>
      <c r="F61" s="5" t="str">
        <f>VLOOKUP(E61,dim_cities!$A$1:$C$11,3)</f>
        <v>Tier 1</v>
      </c>
      <c r="G61" s="5" t="str">
        <f>VLOOKUP(A61,fact_survey_responses!$B$1:$F$71,2)</f>
        <v>Cola-Coka</v>
      </c>
    </row>
    <row r="62" spans="1:7" x14ac:dyDescent="0.2">
      <c r="A62" s="5">
        <v>120091</v>
      </c>
      <c r="B62" s="5" t="s">
        <v>131</v>
      </c>
      <c r="C62" s="5" t="s">
        <v>61</v>
      </c>
      <c r="D62" s="5" t="s">
        <v>51</v>
      </c>
      <c r="E62" s="5" t="s">
        <v>27</v>
      </c>
      <c r="F62" s="5" t="str">
        <f>VLOOKUP(E62,dim_cities!$A$1:$C$11,3)</f>
        <v>Tier 1</v>
      </c>
      <c r="G62" s="5" t="str">
        <f>VLOOKUP(A62,fact_survey_responses!$B$1:$F$71,2)</f>
        <v>Blue Bull</v>
      </c>
    </row>
    <row r="63" spans="1:7" x14ac:dyDescent="0.2">
      <c r="A63" s="5">
        <v>120092</v>
      </c>
      <c r="B63" s="5" t="s">
        <v>132</v>
      </c>
      <c r="C63" s="5" t="s">
        <v>57</v>
      </c>
      <c r="D63" s="5" t="s">
        <v>58</v>
      </c>
      <c r="E63" s="5" t="s">
        <v>18</v>
      </c>
      <c r="F63" s="5" t="str">
        <f>VLOOKUP(E63,dim_cities!$A$1:$C$11,3)</f>
        <v>Tier 1</v>
      </c>
      <c r="G63" s="5" t="str">
        <f>VLOOKUP(A63,fact_survey_responses!$B$1:$F$71,2)</f>
        <v>Bepsi</v>
      </c>
    </row>
    <row r="64" spans="1:7" x14ac:dyDescent="0.2">
      <c r="A64" s="5">
        <v>120093</v>
      </c>
      <c r="B64" s="5" t="s">
        <v>133</v>
      </c>
      <c r="C64" s="5" t="s">
        <v>61</v>
      </c>
      <c r="D64" s="5" t="s">
        <v>51</v>
      </c>
      <c r="E64" s="5" t="s">
        <v>34</v>
      </c>
      <c r="F64" s="5" t="str">
        <f>VLOOKUP(E64,dim_cities!$A$1:$C$11,3)</f>
        <v>Tier 2</v>
      </c>
      <c r="G64" s="5" t="str">
        <f>VLOOKUP(A64,fact_survey_responses!$B$1:$F$71,2)</f>
        <v>Bepsi</v>
      </c>
    </row>
    <row r="65" spans="1:7" x14ac:dyDescent="0.2">
      <c r="A65" s="5">
        <v>120094</v>
      </c>
      <c r="B65" s="5" t="s">
        <v>134</v>
      </c>
      <c r="C65" s="5" t="s">
        <v>61</v>
      </c>
      <c r="D65" s="5" t="s">
        <v>80</v>
      </c>
      <c r="E65" s="5" t="s">
        <v>9</v>
      </c>
      <c r="F65" s="5" t="str">
        <f>VLOOKUP(E65,dim_cities!$A$1:$C$11,3)</f>
        <v>Tier 1</v>
      </c>
      <c r="G65" s="5" t="str">
        <f>VLOOKUP(A65,fact_survey_responses!$B$1:$F$71,2)</f>
        <v>Blue Bull</v>
      </c>
    </row>
    <row r="66" spans="1:7" x14ac:dyDescent="0.2">
      <c r="A66" s="5">
        <v>120095</v>
      </c>
      <c r="B66" s="5" t="s">
        <v>135</v>
      </c>
      <c r="C66" s="5" t="s">
        <v>57</v>
      </c>
      <c r="D66" s="5" t="s">
        <v>58</v>
      </c>
      <c r="E66" s="5" t="s">
        <v>18</v>
      </c>
      <c r="F66" s="5" t="str">
        <f>VLOOKUP(E66,dim_cities!$A$1:$C$11,3)</f>
        <v>Tier 1</v>
      </c>
      <c r="G66" s="5" t="str">
        <f>VLOOKUP(A66,fact_survey_responses!$B$1:$F$71,2)</f>
        <v>Cola-Coka</v>
      </c>
    </row>
    <row r="67" spans="1:7" x14ac:dyDescent="0.2">
      <c r="A67" s="5">
        <v>120096</v>
      </c>
      <c r="B67" s="5" t="s">
        <v>136</v>
      </c>
      <c r="C67" s="5" t="s">
        <v>57</v>
      </c>
      <c r="D67" s="5" t="s">
        <v>58</v>
      </c>
      <c r="E67" s="5" t="s">
        <v>18</v>
      </c>
      <c r="F67" s="5" t="str">
        <f>VLOOKUP(E67,dim_cities!$A$1:$C$11,3)</f>
        <v>Tier 1</v>
      </c>
      <c r="G67" s="5" t="str">
        <f>VLOOKUP(A67,fact_survey_responses!$B$1:$F$71,2)</f>
        <v>Cola-Coka</v>
      </c>
    </row>
    <row r="68" spans="1:7" x14ac:dyDescent="0.2">
      <c r="A68" s="5">
        <v>120097</v>
      </c>
      <c r="B68" s="5" t="s">
        <v>137</v>
      </c>
      <c r="C68" s="5" t="s">
        <v>50</v>
      </c>
      <c r="D68" s="5" t="s">
        <v>51</v>
      </c>
      <c r="E68" s="5" t="s">
        <v>15</v>
      </c>
      <c r="F68" s="5" t="str">
        <f>VLOOKUP(E68,dim_cities!$A$1:$C$11,3)</f>
        <v>Tier 1</v>
      </c>
      <c r="G68" s="5" t="str">
        <f>VLOOKUP(A68,fact_survey_responses!$B$1:$F$71,2)</f>
        <v>Gangster</v>
      </c>
    </row>
    <row r="69" spans="1:7" x14ac:dyDescent="0.2">
      <c r="A69" s="5">
        <v>120098</v>
      </c>
      <c r="B69" s="5" t="s">
        <v>138</v>
      </c>
      <c r="C69" s="5" t="s">
        <v>57</v>
      </c>
      <c r="D69" s="5" t="s">
        <v>58</v>
      </c>
      <c r="E69" s="5" t="s">
        <v>31</v>
      </c>
      <c r="F69" s="5" t="str">
        <f>VLOOKUP(E69,dim_cities!$A$1:$C$11,3)</f>
        <v>Tier 2</v>
      </c>
      <c r="G69" s="5" t="str">
        <f>VLOOKUP(A69,fact_survey_responses!$B$1:$F$71,2)</f>
        <v>Blue Bull</v>
      </c>
    </row>
    <row r="70" spans="1:7" x14ac:dyDescent="0.2">
      <c r="A70" s="5">
        <v>120099</v>
      </c>
      <c r="B70" s="5" t="s">
        <v>139</v>
      </c>
      <c r="C70" s="5" t="s">
        <v>50</v>
      </c>
      <c r="D70" s="5" t="s">
        <v>80</v>
      </c>
      <c r="E70" s="5" t="s">
        <v>34</v>
      </c>
      <c r="F70" s="5" t="str">
        <f>VLOOKUP(E70,dim_cities!$A$1:$C$11,3)</f>
        <v>Tier 2</v>
      </c>
      <c r="G70" s="5" t="str">
        <f>VLOOKUP(A70,fact_survey_responses!$B$1:$F$71,2)</f>
        <v>Blue Bull</v>
      </c>
    </row>
    <row r="71" spans="1:7" x14ac:dyDescent="0.2">
      <c r="A71" s="5">
        <v>120100</v>
      </c>
      <c r="B71" s="5" t="s">
        <v>140</v>
      </c>
      <c r="C71" s="5" t="s">
        <v>57</v>
      </c>
      <c r="D71" s="5" t="s">
        <v>58</v>
      </c>
      <c r="E71" s="5" t="s">
        <v>21</v>
      </c>
      <c r="F71" s="5" t="str">
        <f>VLOOKUP(E71,dim_cities!$A$1:$C$11,3)</f>
        <v>Tier 1</v>
      </c>
      <c r="G71" s="5" t="str">
        <f>VLOOKUP(A71,fact_survey_responses!$B$1:$F$71,2)</f>
        <v>Gangster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C11"/>
  <sheetViews>
    <sheetView workbookViewId="0"/>
  </sheetViews>
  <sheetFormatPr defaultColWidth="12.5703125" defaultRowHeight="15.75" customHeight="1" x14ac:dyDescent="0.2"/>
  <sheetData>
    <row r="1" spans="1:3" x14ac:dyDescent="0.2">
      <c r="A1" s="1" t="s">
        <v>1</v>
      </c>
      <c r="B1" s="1" t="s">
        <v>7</v>
      </c>
      <c r="C1" s="1" t="s">
        <v>8</v>
      </c>
    </row>
    <row r="2" spans="1:3" x14ac:dyDescent="0.2">
      <c r="A2" s="3" t="s">
        <v>9</v>
      </c>
      <c r="B2" s="3" t="s">
        <v>11</v>
      </c>
      <c r="C2" s="3" t="s">
        <v>13</v>
      </c>
    </row>
    <row r="3" spans="1:3" x14ac:dyDescent="0.2">
      <c r="A3" s="3" t="s">
        <v>15</v>
      </c>
      <c r="B3" s="3" t="s">
        <v>16</v>
      </c>
      <c r="C3" s="3" t="s">
        <v>13</v>
      </c>
    </row>
    <row r="4" spans="1:3" x14ac:dyDescent="0.2">
      <c r="A4" s="3" t="s">
        <v>18</v>
      </c>
      <c r="B4" s="3" t="s">
        <v>19</v>
      </c>
      <c r="C4" s="3" t="s">
        <v>13</v>
      </c>
    </row>
    <row r="5" spans="1:3" x14ac:dyDescent="0.2">
      <c r="A5" s="3" t="s">
        <v>21</v>
      </c>
      <c r="B5" s="3" t="s">
        <v>22</v>
      </c>
      <c r="C5" s="3" t="s">
        <v>13</v>
      </c>
    </row>
    <row r="6" spans="1:3" x14ac:dyDescent="0.2">
      <c r="A6" s="3" t="s">
        <v>23</v>
      </c>
      <c r="B6" s="3" t="s">
        <v>25</v>
      </c>
      <c r="C6" s="3" t="s">
        <v>26</v>
      </c>
    </row>
    <row r="7" spans="1:3" x14ac:dyDescent="0.2">
      <c r="A7" s="3" t="s">
        <v>27</v>
      </c>
      <c r="B7" s="3" t="s">
        <v>29</v>
      </c>
      <c r="C7" s="3" t="s">
        <v>13</v>
      </c>
    </row>
    <row r="8" spans="1:3" x14ac:dyDescent="0.2">
      <c r="A8" s="3" t="s">
        <v>31</v>
      </c>
      <c r="B8" s="3" t="s">
        <v>32</v>
      </c>
      <c r="C8" s="3" t="s">
        <v>26</v>
      </c>
    </row>
    <row r="9" spans="1:3" x14ac:dyDescent="0.2">
      <c r="A9" s="3" t="s">
        <v>34</v>
      </c>
      <c r="B9" s="3" t="s">
        <v>36</v>
      </c>
      <c r="C9" s="3" t="s">
        <v>26</v>
      </c>
    </row>
    <row r="10" spans="1:3" x14ac:dyDescent="0.2">
      <c r="A10" s="3" t="s">
        <v>37</v>
      </c>
      <c r="B10" s="3" t="s">
        <v>38</v>
      </c>
      <c r="C10" s="3" t="s">
        <v>26</v>
      </c>
    </row>
    <row r="11" spans="1:3" x14ac:dyDescent="0.2">
      <c r="A11" s="3" t="s">
        <v>40</v>
      </c>
      <c r="B11" s="3" t="s">
        <v>41</v>
      </c>
      <c r="C11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F71"/>
  <sheetViews>
    <sheetView workbookViewId="0"/>
  </sheetViews>
  <sheetFormatPr defaultColWidth="12.5703125" defaultRowHeight="15.75" customHeight="1" x14ac:dyDescent="0.2"/>
  <cols>
    <col min="2" max="2" width="13.28515625" customWidth="1"/>
    <col min="3" max="3" width="13.42578125" customWidth="1"/>
    <col min="4" max="4" width="14.85546875" customWidth="1"/>
    <col min="6" max="6" width="22.7109375" bestFit="1" customWidth="1"/>
  </cols>
  <sheetData>
    <row r="1" spans="1:6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s="2">
        <v>103001</v>
      </c>
      <c r="B2" s="2">
        <v>120031</v>
      </c>
      <c r="C2" s="3" t="s">
        <v>10</v>
      </c>
      <c r="D2" s="2">
        <v>5</v>
      </c>
      <c r="E2" s="3" t="s">
        <v>12</v>
      </c>
      <c r="F2" s="3" t="s">
        <v>14</v>
      </c>
    </row>
    <row r="3" spans="1:6" x14ac:dyDescent="0.2">
      <c r="A3" s="2">
        <v>103002</v>
      </c>
      <c r="B3" s="2">
        <v>120032</v>
      </c>
      <c r="C3" s="3" t="s">
        <v>17</v>
      </c>
      <c r="D3" s="2">
        <v>5</v>
      </c>
      <c r="E3" s="3" t="s">
        <v>12</v>
      </c>
      <c r="F3" s="3" t="s">
        <v>14</v>
      </c>
    </row>
    <row r="4" spans="1:6" x14ac:dyDescent="0.2">
      <c r="A4" s="2">
        <v>103003</v>
      </c>
      <c r="B4" s="2">
        <v>120033</v>
      </c>
      <c r="C4" s="3" t="s">
        <v>17</v>
      </c>
      <c r="D4" s="2">
        <v>2</v>
      </c>
      <c r="E4" s="3" t="s">
        <v>20</v>
      </c>
      <c r="F4" s="3" t="s">
        <v>14</v>
      </c>
    </row>
    <row r="5" spans="1:6" x14ac:dyDescent="0.2">
      <c r="A5" s="2">
        <v>103004</v>
      </c>
      <c r="B5" s="2">
        <v>120034</v>
      </c>
      <c r="C5" s="3" t="s">
        <v>17</v>
      </c>
      <c r="D5" s="2">
        <v>5</v>
      </c>
      <c r="E5" s="3" t="s">
        <v>24</v>
      </c>
      <c r="F5" s="3" t="s">
        <v>14</v>
      </c>
    </row>
    <row r="6" spans="1:6" x14ac:dyDescent="0.2">
      <c r="A6" s="2">
        <v>103005</v>
      </c>
      <c r="B6" s="2">
        <v>120035</v>
      </c>
      <c r="C6" s="3" t="s">
        <v>28</v>
      </c>
      <c r="D6" s="2">
        <v>5</v>
      </c>
      <c r="E6" s="3" t="s">
        <v>20</v>
      </c>
      <c r="F6" s="3" t="s">
        <v>30</v>
      </c>
    </row>
    <row r="7" spans="1:6" x14ac:dyDescent="0.2">
      <c r="A7" s="2">
        <v>103006</v>
      </c>
      <c r="B7" s="2">
        <v>120036</v>
      </c>
      <c r="C7" s="3" t="s">
        <v>33</v>
      </c>
      <c r="D7" s="2">
        <v>5</v>
      </c>
      <c r="E7" s="3" t="s">
        <v>24</v>
      </c>
      <c r="F7" s="3" t="s">
        <v>35</v>
      </c>
    </row>
    <row r="8" spans="1:6" x14ac:dyDescent="0.2">
      <c r="A8" s="2">
        <v>103007</v>
      </c>
      <c r="B8" s="2">
        <v>120037</v>
      </c>
      <c r="C8" s="3" t="s">
        <v>33</v>
      </c>
      <c r="D8" s="2">
        <v>4</v>
      </c>
      <c r="E8" s="3" t="s">
        <v>20</v>
      </c>
      <c r="F8" s="3" t="s">
        <v>39</v>
      </c>
    </row>
    <row r="9" spans="1:6" x14ac:dyDescent="0.2">
      <c r="A9" s="2">
        <v>103008</v>
      </c>
      <c r="B9" s="2">
        <v>120038</v>
      </c>
      <c r="C9" s="3" t="s">
        <v>42</v>
      </c>
      <c r="D9" s="2">
        <v>4</v>
      </c>
      <c r="E9" s="3" t="s">
        <v>12</v>
      </c>
      <c r="F9" s="3" t="s">
        <v>35</v>
      </c>
    </row>
    <row r="10" spans="1:6" x14ac:dyDescent="0.2">
      <c r="A10" s="2">
        <v>103009</v>
      </c>
      <c r="B10" s="2">
        <v>120039</v>
      </c>
      <c r="C10" s="3" t="s">
        <v>42</v>
      </c>
      <c r="D10" s="2">
        <v>3</v>
      </c>
      <c r="E10" s="3" t="s">
        <v>20</v>
      </c>
      <c r="F10" s="3" t="s">
        <v>39</v>
      </c>
    </row>
    <row r="11" spans="1:6" x14ac:dyDescent="0.2">
      <c r="A11" s="2">
        <v>103010</v>
      </c>
      <c r="B11" s="2">
        <v>120040</v>
      </c>
      <c r="C11" s="3" t="s">
        <v>28</v>
      </c>
      <c r="D11" s="2">
        <v>4</v>
      </c>
      <c r="E11" s="3" t="s">
        <v>12</v>
      </c>
      <c r="F11" s="3" t="s">
        <v>35</v>
      </c>
    </row>
    <row r="12" spans="1:6" x14ac:dyDescent="0.2">
      <c r="A12" s="2">
        <v>103011</v>
      </c>
      <c r="B12" s="2">
        <v>120041</v>
      </c>
      <c r="C12" s="3" t="s">
        <v>47</v>
      </c>
      <c r="D12" s="2">
        <v>5</v>
      </c>
      <c r="E12" s="3" t="s">
        <v>12</v>
      </c>
      <c r="F12" s="3" t="s">
        <v>14</v>
      </c>
    </row>
    <row r="13" spans="1:6" x14ac:dyDescent="0.2">
      <c r="A13" s="2">
        <v>103012</v>
      </c>
      <c r="B13" s="2">
        <v>120042</v>
      </c>
      <c r="C13" s="3" t="s">
        <v>48</v>
      </c>
      <c r="D13" s="2">
        <v>2</v>
      </c>
      <c r="E13" s="3" t="s">
        <v>20</v>
      </c>
      <c r="F13" s="3" t="s">
        <v>30</v>
      </c>
    </row>
    <row r="14" spans="1:6" x14ac:dyDescent="0.2">
      <c r="A14" s="2">
        <v>103013</v>
      </c>
      <c r="B14" s="2">
        <v>120043</v>
      </c>
      <c r="C14" s="3" t="s">
        <v>42</v>
      </c>
      <c r="D14" s="2">
        <v>4</v>
      </c>
      <c r="E14" s="3" t="s">
        <v>12</v>
      </c>
      <c r="F14" s="3" t="s">
        <v>35</v>
      </c>
    </row>
    <row r="15" spans="1:6" x14ac:dyDescent="0.2">
      <c r="A15" s="2">
        <v>103014</v>
      </c>
      <c r="B15" s="2">
        <v>120044</v>
      </c>
      <c r="C15" s="3" t="s">
        <v>48</v>
      </c>
      <c r="D15" s="2">
        <v>5</v>
      </c>
      <c r="E15" s="3" t="s">
        <v>12</v>
      </c>
      <c r="F15" s="3" t="s">
        <v>30</v>
      </c>
    </row>
    <row r="16" spans="1:6" x14ac:dyDescent="0.2">
      <c r="A16" s="2">
        <v>103015</v>
      </c>
      <c r="B16" s="2">
        <v>120045</v>
      </c>
      <c r="C16" s="3" t="s">
        <v>17</v>
      </c>
      <c r="D16" s="2">
        <v>5</v>
      </c>
      <c r="E16" s="3" t="s">
        <v>24</v>
      </c>
      <c r="F16" s="3" t="s">
        <v>14</v>
      </c>
    </row>
    <row r="17" spans="1:6" x14ac:dyDescent="0.2">
      <c r="A17" s="2">
        <v>103016</v>
      </c>
      <c r="B17" s="2">
        <v>120046</v>
      </c>
      <c r="C17" s="3" t="s">
        <v>17</v>
      </c>
      <c r="D17" s="2">
        <v>3</v>
      </c>
      <c r="E17" s="3" t="s">
        <v>24</v>
      </c>
      <c r="F17" s="3" t="s">
        <v>14</v>
      </c>
    </row>
    <row r="18" spans="1:6" x14ac:dyDescent="0.2">
      <c r="A18" s="2">
        <v>103017</v>
      </c>
      <c r="B18" s="2">
        <v>120047</v>
      </c>
      <c r="C18" s="3" t="s">
        <v>47</v>
      </c>
      <c r="D18" s="2">
        <v>4</v>
      </c>
      <c r="E18" s="3" t="s">
        <v>12</v>
      </c>
      <c r="F18" s="3" t="s">
        <v>14</v>
      </c>
    </row>
    <row r="19" spans="1:6" x14ac:dyDescent="0.2">
      <c r="A19" s="2">
        <v>103018</v>
      </c>
      <c r="B19" s="2">
        <v>120048</v>
      </c>
      <c r="C19" s="3" t="s">
        <v>28</v>
      </c>
      <c r="D19" s="2">
        <v>1</v>
      </c>
      <c r="E19" s="3" t="s">
        <v>20</v>
      </c>
      <c r="F19" s="3" t="s">
        <v>30</v>
      </c>
    </row>
    <row r="20" spans="1:6" x14ac:dyDescent="0.2">
      <c r="A20" s="2">
        <v>103019</v>
      </c>
      <c r="B20" s="2">
        <v>120049</v>
      </c>
      <c r="C20" s="3" t="s">
        <v>17</v>
      </c>
      <c r="D20" s="2">
        <v>4</v>
      </c>
      <c r="E20" s="3" t="s">
        <v>12</v>
      </c>
      <c r="F20" s="3" t="s">
        <v>53</v>
      </c>
    </row>
    <row r="21" spans="1:6" x14ac:dyDescent="0.2">
      <c r="A21" s="2">
        <v>103020</v>
      </c>
      <c r="B21" s="2">
        <v>120050</v>
      </c>
      <c r="C21" s="3" t="s">
        <v>48</v>
      </c>
      <c r="D21" s="2">
        <v>2</v>
      </c>
      <c r="E21" s="3" t="s">
        <v>12</v>
      </c>
      <c r="F21" s="3" t="s">
        <v>39</v>
      </c>
    </row>
    <row r="22" spans="1:6" x14ac:dyDescent="0.2">
      <c r="A22" s="2">
        <v>103021</v>
      </c>
      <c r="B22" s="2">
        <v>120051</v>
      </c>
      <c r="C22" s="3" t="s">
        <v>42</v>
      </c>
      <c r="D22" s="2">
        <v>3</v>
      </c>
      <c r="E22" s="3" t="s">
        <v>12</v>
      </c>
      <c r="F22" s="3" t="s">
        <v>30</v>
      </c>
    </row>
    <row r="23" spans="1:6" x14ac:dyDescent="0.2">
      <c r="A23" s="2">
        <v>103022</v>
      </c>
      <c r="B23" s="2">
        <v>120052</v>
      </c>
      <c r="C23" s="3" t="s">
        <v>42</v>
      </c>
      <c r="D23" s="2">
        <v>4</v>
      </c>
      <c r="E23" s="3" t="s">
        <v>12</v>
      </c>
      <c r="F23" s="3" t="s">
        <v>14</v>
      </c>
    </row>
    <row r="24" spans="1:6" x14ac:dyDescent="0.2">
      <c r="A24" s="2">
        <v>103023</v>
      </c>
      <c r="B24" s="2">
        <v>120053</v>
      </c>
      <c r="C24" s="3" t="s">
        <v>33</v>
      </c>
      <c r="D24" s="2">
        <v>3</v>
      </c>
      <c r="E24" s="3" t="s">
        <v>12</v>
      </c>
      <c r="F24" s="3" t="s">
        <v>30</v>
      </c>
    </row>
    <row r="25" spans="1:6" x14ac:dyDescent="0.2">
      <c r="A25" s="2">
        <v>103024</v>
      </c>
      <c r="B25" s="2">
        <v>120054</v>
      </c>
      <c r="C25" s="3" t="s">
        <v>17</v>
      </c>
      <c r="D25" s="2">
        <v>1</v>
      </c>
      <c r="E25" s="3" t="s">
        <v>20</v>
      </c>
      <c r="F25" s="3" t="s">
        <v>30</v>
      </c>
    </row>
    <row r="26" spans="1:6" x14ac:dyDescent="0.2">
      <c r="A26" s="2">
        <v>103025</v>
      </c>
      <c r="B26" s="2">
        <v>120055</v>
      </c>
      <c r="C26" s="3" t="s">
        <v>33</v>
      </c>
      <c r="D26" s="2">
        <v>3</v>
      </c>
      <c r="E26" s="3" t="s">
        <v>24</v>
      </c>
      <c r="F26" s="3" t="s">
        <v>35</v>
      </c>
    </row>
    <row r="27" spans="1:6" x14ac:dyDescent="0.2">
      <c r="A27" s="2">
        <v>103026</v>
      </c>
      <c r="B27" s="2">
        <v>120056</v>
      </c>
      <c r="C27" s="3" t="s">
        <v>33</v>
      </c>
      <c r="D27" s="2">
        <v>1</v>
      </c>
      <c r="E27" s="3" t="s">
        <v>12</v>
      </c>
      <c r="F27" s="3" t="s">
        <v>35</v>
      </c>
    </row>
    <row r="28" spans="1:6" x14ac:dyDescent="0.2">
      <c r="A28" s="2">
        <v>103027</v>
      </c>
      <c r="B28" s="2">
        <v>120057</v>
      </c>
      <c r="C28" s="3" t="s">
        <v>42</v>
      </c>
      <c r="D28" s="2">
        <v>2</v>
      </c>
      <c r="E28" s="3" t="s">
        <v>12</v>
      </c>
      <c r="F28" s="3" t="s">
        <v>30</v>
      </c>
    </row>
    <row r="29" spans="1:6" x14ac:dyDescent="0.2">
      <c r="A29" s="2">
        <v>103028</v>
      </c>
      <c r="B29" s="2">
        <v>120058</v>
      </c>
      <c r="C29" s="3" t="s">
        <v>28</v>
      </c>
      <c r="D29" s="2">
        <v>5</v>
      </c>
      <c r="E29" s="3" t="s">
        <v>20</v>
      </c>
      <c r="F29" s="3" t="s">
        <v>14</v>
      </c>
    </row>
    <row r="30" spans="1:6" x14ac:dyDescent="0.2">
      <c r="A30" s="2">
        <v>103029</v>
      </c>
      <c r="B30" s="2">
        <v>120059</v>
      </c>
      <c r="C30" s="3" t="s">
        <v>48</v>
      </c>
      <c r="D30" s="2">
        <v>3</v>
      </c>
      <c r="E30" s="3" t="s">
        <v>55</v>
      </c>
      <c r="F30" s="3" t="s">
        <v>39</v>
      </c>
    </row>
    <row r="31" spans="1:6" x14ac:dyDescent="0.2">
      <c r="A31" s="2">
        <v>103030</v>
      </c>
      <c r="B31" s="2">
        <v>120060</v>
      </c>
      <c r="C31" s="3" t="s">
        <v>42</v>
      </c>
      <c r="D31" s="2">
        <v>4</v>
      </c>
      <c r="E31" s="3" t="s">
        <v>12</v>
      </c>
      <c r="F31" s="3" t="s">
        <v>30</v>
      </c>
    </row>
    <row r="32" spans="1:6" x14ac:dyDescent="0.2">
      <c r="A32" s="2">
        <v>103031</v>
      </c>
      <c r="B32" s="2">
        <v>120061</v>
      </c>
      <c r="C32" s="3" t="s">
        <v>42</v>
      </c>
      <c r="D32" s="2">
        <v>1</v>
      </c>
      <c r="E32" s="3" t="s">
        <v>24</v>
      </c>
      <c r="F32" s="3" t="s">
        <v>35</v>
      </c>
    </row>
    <row r="33" spans="1:6" x14ac:dyDescent="0.2">
      <c r="A33" s="2">
        <v>103032</v>
      </c>
      <c r="B33" s="2">
        <v>120062</v>
      </c>
      <c r="C33" s="3" t="s">
        <v>33</v>
      </c>
      <c r="D33" s="2">
        <v>4</v>
      </c>
      <c r="E33" s="3" t="s">
        <v>55</v>
      </c>
      <c r="F33" s="3" t="s">
        <v>14</v>
      </c>
    </row>
    <row r="34" spans="1:6" x14ac:dyDescent="0.2">
      <c r="A34" s="2">
        <v>103033</v>
      </c>
      <c r="B34" s="2">
        <v>120063</v>
      </c>
      <c r="C34" s="3" t="s">
        <v>47</v>
      </c>
      <c r="D34" s="2">
        <v>3</v>
      </c>
      <c r="E34" s="3" t="s">
        <v>12</v>
      </c>
      <c r="F34" s="3" t="s">
        <v>14</v>
      </c>
    </row>
    <row r="35" spans="1:6" x14ac:dyDescent="0.2">
      <c r="A35" s="2">
        <v>103034</v>
      </c>
      <c r="B35" s="2">
        <v>120064</v>
      </c>
      <c r="C35" s="3" t="s">
        <v>42</v>
      </c>
      <c r="D35" s="2">
        <v>4</v>
      </c>
      <c r="E35" s="3" t="s">
        <v>24</v>
      </c>
      <c r="F35" s="3" t="s">
        <v>14</v>
      </c>
    </row>
    <row r="36" spans="1:6" x14ac:dyDescent="0.2">
      <c r="A36" s="2">
        <v>103035</v>
      </c>
      <c r="B36" s="2">
        <v>120065</v>
      </c>
      <c r="C36" s="3" t="s">
        <v>47</v>
      </c>
      <c r="D36" s="2">
        <v>2</v>
      </c>
      <c r="E36" s="3" t="s">
        <v>12</v>
      </c>
      <c r="F36" s="3" t="s">
        <v>14</v>
      </c>
    </row>
    <row r="37" spans="1:6" x14ac:dyDescent="0.2">
      <c r="A37" s="2">
        <v>103036</v>
      </c>
      <c r="B37" s="2">
        <v>120066</v>
      </c>
      <c r="C37" s="3" t="s">
        <v>47</v>
      </c>
      <c r="D37" s="2">
        <v>2</v>
      </c>
      <c r="E37" s="3" t="s">
        <v>20</v>
      </c>
      <c r="F37" s="3" t="s">
        <v>14</v>
      </c>
    </row>
    <row r="38" spans="1:6" x14ac:dyDescent="0.2">
      <c r="A38" s="2">
        <v>103037</v>
      </c>
      <c r="B38" s="2">
        <v>120067</v>
      </c>
      <c r="C38" s="3" t="s">
        <v>33</v>
      </c>
      <c r="D38" s="2">
        <v>3</v>
      </c>
      <c r="E38" s="3" t="s">
        <v>12</v>
      </c>
      <c r="F38" s="3" t="s">
        <v>30</v>
      </c>
    </row>
    <row r="39" spans="1:6" x14ac:dyDescent="0.2">
      <c r="A39" s="2">
        <v>103038</v>
      </c>
      <c r="B39" s="2">
        <v>120068</v>
      </c>
      <c r="C39" s="3" t="s">
        <v>10</v>
      </c>
      <c r="D39" s="2">
        <v>1</v>
      </c>
      <c r="E39" s="3" t="s">
        <v>20</v>
      </c>
      <c r="F39" s="3" t="s">
        <v>14</v>
      </c>
    </row>
    <row r="40" spans="1:6" x14ac:dyDescent="0.2">
      <c r="A40" s="2">
        <v>103039</v>
      </c>
      <c r="B40" s="2">
        <v>120069</v>
      </c>
      <c r="C40" s="3" t="s">
        <v>17</v>
      </c>
      <c r="D40" s="2">
        <v>2</v>
      </c>
      <c r="E40" s="3" t="s">
        <v>12</v>
      </c>
      <c r="F40" s="3" t="s">
        <v>14</v>
      </c>
    </row>
    <row r="41" spans="1:6" x14ac:dyDescent="0.2">
      <c r="A41" s="2">
        <v>103040</v>
      </c>
      <c r="B41" s="2">
        <v>120070</v>
      </c>
      <c r="C41" s="3" t="s">
        <v>47</v>
      </c>
      <c r="D41" s="2">
        <v>5</v>
      </c>
      <c r="E41" s="3" t="s">
        <v>20</v>
      </c>
      <c r="F41" s="3" t="s">
        <v>35</v>
      </c>
    </row>
    <row r="42" spans="1:6" x14ac:dyDescent="0.2">
      <c r="A42" s="2">
        <v>103041</v>
      </c>
      <c r="B42" s="2">
        <v>120071</v>
      </c>
      <c r="C42" s="3" t="s">
        <v>17</v>
      </c>
      <c r="D42" s="2">
        <v>3</v>
      </c>
      <c r="E42" s="3" t="s">
        <v>20</v>
      </c>
      <c r="F42" s="3" t="s">
        <v>14</v>
      </c>
    </row>
    <row r="43" spans="1:6" x14ac:dyDescent="0.2">
      <c r="A43" s="2">
        <v>103042</v>
      </c>
      <c r="B43" s="2">
        <v>120072</v>
      </c>
      <c r="C43" s="3" t="s">
        <v>28</v>
      </c>
      <c r="D43" s="2">
        <v>4</v>
      </c>
      <c r="E43" s="3" t="s">
        <v>24</v>
      </c>
      <c r="F43" s="3" t="s">
        <v>14</v>
      </c>
    </row>
    <row r="44" spans="1:6" x14ac:dyDescent="0.2">
      <c r="A44" s="2">
        <v>103043</v>
      </c>
      <c r="B44" s="2">
        <v>120073</v>
      </c>
      <c r="C44" s="3" t="s">
        <v>10</v>
      </c>
      <c r="D44" s="2">
        <v>1</v>
      </c>
      <c r="E44" s="3" t="s">
        <v>12</v>
      </c>
      <c r="F44" s="3" t="s">
        <v>30</v>
      </c>
    </row>
    <row r="45" spans="1:6" x14ac:dyDescent="0.2">
      <c r="A45" s="2">
        <v>103044</v>
      </c>
      <c r="B45" s="2">
        <v>120074</v>
      </c>
      <c r="C45" s="3" t="s">
        <v>33</v>
      </c>
      <c r="D45" s="2">
        <v>4</v>
      </c>
      <c r="E45" s="3" t="s">
        <v>12</v>
      </c>
      <c r="F45" s="3" t="s">
        <v>35</v>
      </c>
    </row>
    <row r="46" spans="1:6" x14ac:dyDescent="0.2">
      <c r="A46" s="2">
        <v>103045</v>
      </c>
      <c r="B46" s="2">
        <v>120075</v>
      </c>
      <c r="C46" s="3" t="s">
        <v>17</v>
      </c>
      <c r="D46" s="2">
        <v>2</v>
      </c>
      <c r="E46" s="3" t="s">
        <v>12</v>
      </c>
      <c r="F46" s="3" t="s">
        <v>14</v>
      </c>
    </row>
    <row r="47" spans="1:6" x14ac:dyDescent="0.2">
      <c r="A47" s="2">
        <v>103046</v>
      </c>
      <c r="B47" s="2">
        <v>120076</v>
      </c>
      <c r="C47" s="3" t="s">
        <v>42</v>
      </c>
      <c r="D47" s="2">
        <v>4</v>
      </c>
      <c r="E47" s="3" t="s">
        <v>12</v>
      </c>
      <c r="F47" s="3" t="s">
        <v>14</v>
      </c>
    </row>
    <row r="48" spans="1:6" x14ac:dyDescent="0.2">
      <c r="A48" s="2">
        <v>103047</v>
      </c>
      <c r="B48" s="2">
        <v>120077</v>
      </c>
      <c r="C48" s="3" t="s">
        <v>33</v>
      </c>
      <c r="D48" s="2">
        <v>4</v>
      </c>
      <c r="E48" s="3" t="s">
        <v>12</v>
      </c>
      <c r="F48" s="3" t="s">
        <v>14</v>
      </c>
    </row>
    <row r="49" spans="1:6" x14ac:dyDescent="0.2">
      <c r="A49" s="2">
        <v>103048</v>
      </c>
      <c r="B49" s="2">
        <v>120078</v>
      </c>
      <c r="C49" s="3" t="s">
        <v>48</v>
      </c>
      <c r="D49" s="2">
        <v>3</v>
      </c>
      <c r="E49" s="3" t="s">
        <v>20</v>
      </c>
      <c r="F49" s="3" t="s">
        <v>14</v>
      </c>
    </row>
    <row r="50" spans="1:6" x14ac:dyDescent="0.2">
      <c r="A50" s="2">
        <v>103049</v>
      </c>
      <c r="B50" s="2">
        <v>120079</v>
      </c>
      <c r="C50" s="3" t="s">
        <v>17</v>
      </c>
      <c r="D50" s="2">
        <v>4</v>
      </c>
      <c r="E50" s="3" t="s">
        <v>12</v>
      </c>
      <c r="F50" s="3" t="s">
        <v>14</v>
      </c>
    </row>
    <row r="51" spans="1:6" x14ac:dyDescent="0.2">
      <c r="A51" s="2">
        <v>103050</v>
      </c>
      <c r="B51" s="2">
        <v>120080</v>
      </c>
      <c r="C51" s="3" t="s">
        <v>17</v>
      </c>
      <c r="D51" s="2">
        <v>5</v>
      </c>
      <c r="E51" s="3" t="s">
        <v>12</v>
      </c>
      <c r="F51" s="3" t="s">
        <v>35</v>
      </c>
    </row>
    <row r="52" spans="1:6" x14ac:dyDescent="0.2">
      <c r="A52" s="2">
        <v>103051</v>
      </c>
      <c r="B52" s="2">
        <v>120081</v>
      </c>
      <c r="C52" s="3" t="s">
        <v>28</v>
      </c>
      <c r="D52" s="2">
        <v>3</v>
      </c>
      <c r="E52" s="3" t="s">
        <v>24</v>
      </c>
      <c r="F52" s="3" t="s">
        <v>30</v>
      </c>
    </row>
    <row r="53" spans="1:6" x14ac:dyDescent="0.2">
      <c r="A53" s="2">
        <v>103052</v>
      </c>
      <c r="B53" s="2">
        <v>120082</v>
      </c>
      <c r="C53" s="3" t="s">
        <v>17</v>
      </c>
      <c r="D53" s="2">
        <v>3</v>
      </c>
      <c r="E53" s="3" t="s">
        <v>20</v>
      </c>
      <c r="F53" s="3" t="s">
        <v>14</v>
      </c>
    </row>
    <row r="54" spans="1:6" x14ac:dyDescent="0.2">
      <c r="A54" s="2">
        <v>103053</v>
      </c>
      <c r="B54" s="2">
        <v>120083</v>
      </c>
      <c r="C54" s="3" t="s">
        <v>33</v>
      </c>
      <c r="D54" s="2">
        <v>2</v>
      </c>
      <c r="E54" s="3" t="s">
        <v>20</v>
      </c>
      <c r="F54" s="3" t="s">
        <v>39</v>
      </c>
    </row>
    <row r="55" spans="1:6" x14ac:dyDescent="0.2">
      <c r="A55" s="2">
        <v>103054</v>
      </c>
      <c r="B55" s="2">
        <v>120084</v>
      </c>
      <c r="C55" s="3" t="s">
        <v>17</v>
      </c>
      <c r="D55" s="2">
        <v>2</v>
      </c>
      <c r="E55" s="3" t="s">
        <v>12</v>
      </c>
      <c r="F55" s="3" t="s">
        <v>30</v>
      </c>
    </row>
    <row r="56" spans="1:6" x14ac:dyDescent="0.2">
      <c r="A56" s="2">
        <v>103055</v>
      </c>
      <c r="B56" s="2">
        <v>120085</v>
      </c>
      <c r="C56" s="3" t="s">
        <v>28</v>
      </c>
      <c r="D56" s="2">
        <v>5</v>
      </c>
      <c r="E56" s="3" t="s">
        <v>24</v>
      </c>
      <c r="F56" s="3" t="s">
        <v>14</v>
      </c>
    </row>
    <row r="57" spans="1:6" x14ac:dyDescent="0.2">
      <c r="A57" s="2">
        <v>103056</v>
      </c>
      <c r="B57" s="2">
        <v>120086</v>
      </c>
      <c r="C57" s="3" t="s">
        <v>33</v>
      </c>
      <c r="D57" s="2">
        <v>1</v>
      </c>
      <c r="E57" s="3" t="s">
        <v>12</v>
      </c>
      <c r="F57" s="3" t="s">
        <v>14</v>
      </c>
    </row>
    <row r="58" spans="1:6" x14ac:dyDescent="0.2">
      <c r="A58" s="2">
        <v>103057</v>
      </c>
      <c r="B58" s="2">
        <v>120087</v>
      </c>
      <c r="C58" s="3" t="s">
        <v>17</v>
      </c>
      <c r="D58" s="2">
        <v>1</v>
      </c>
      <c r="E58" s="3" t="s">
        <v>12</v>
      </c>
      <c r="F58" s="3" t="s">
        <v>35</v>
      </c>
    </row>
    <row r="59" spans="1:6" x14ac:dyDescent="0.2">
      <c r="A59" s="2">
        <v>103058</v>
      </c>
      <c r="B59" s="2">
        <v>120088</v>
      </c>
      <c r="C59" s="3" t="s">
        <v>33</v>
      </c>
      <c r="D59" s="2">
        <v>3</v>
      </c>
      <c r="E59" s="3" t="s">
        <v>20</v>
      </c>
      <c r="F59" s="3" t="s">
        <v>14</v>
      </c>
    </row>
    <row r="60" spans="1:6" x14ac:dyDescent="0.2">
      <c r="A60" s="2">
        <v>103059</v>
      </c>
      <c r="B60" s="2">
        <v>120089</v>
      </c>
      <c r="C60" s="3" t="s">
        <v>17</v>
      </c>
      <c r="D60" s="2">
        <v>4</v>
      </c>
      <c r="E60" s="3" t="s">
        <v>12</v>
      </c>
      <c r="F60" s="3" t="s">
        <v>14</v>
      </c>
    </row>
    <row r="61" spans="1:6" x14ac:dyDescent="0.2">
      <c r="A61" s="2">
        <v>103060</v>
      </c>
      <c r="B61" s="2">
        <v>120090</v>
      </c>
      <c r="C61" s="3" t="s">
        <v>33</v>
      </c>
      <c r="D61" s="2">
        <v>4</v>
      </c>
      <c r="E61" s="3" t="s">
        <v>12</v>
      </c>
      <c r="F61" s="3" t="s">
        <v>14</v>
      </c>
    </row>
    <row r="62" spans="1:6" x14ac:dyDescent="0.2">
      <c r="A62" s="2">
        <v>103061</v>
      </c>
      <c r="B62" s="2">
        <v>120091</v>
      </c>
      <c r="C62" s="3" t="s">
        <v>10</v>
      </c>
      <c r="D62" s="2">
        <v>4</v>
      </c>
      <c r="E62" s="3" t="s">
        <v>20</v>
      </c>
      <c r="F62" s="3" t="s">
        <v>35</v>
      </c>
    </row>
    <row r="63" spans="1:6" x14ac:dyDescent="0.2">
      <c r="A63" s="2">
        <v>103062</v>
      </c>
      <c r="B63" s="2">
        <v>120092</v>
      </c>
      <c r="C63" s="3" t="s">
        <v>17</v>
      </c>
      <c r="D63" s="2">
        <v>4</v>
      </c>
      <c r="E63" s="3" t="s">
        <v>20</v>
      </c>
      <c r="F63" s="3" t="s">
        <v>14</v>
      </c>
    </row>
    <row r="64" spans="1:6" x14ac:dyDescent="0.2">
      <c r="A64" s="2">
        <v>103063</v>
      </c>
      <c r="B64" s="2">
        <v>120093</v>
      </c>
      <c r="C64" s="3" t="s">
        <v>17</v>
      </c>
      <c r="D64" s="2">
        <v>4</v>
      </c>
      <c r="E64" s="3" t="s">
        <v>12</v>
      </c>
      <c r="F64" s="3" t="s">
        <v>14</v>
      </c>
    </row>
    <row r="65" spans="1:6" x14ac:dyDescent="0.2">
      <c r="A65" s="2">
        <v>103064</v>
      </c>
      <c r="B65" s="2">
        <v>120094</v>
      </c>
      <c r="C65" s="3" t="s">
        <v>10</v>
      </c>
      <c r="D65" s="2">
        <v>2</v>
      </c>
      <c r="E65" s="3" t="s">
        <v>12</v>
      </c>
      <c r="F65" s="3" t="s">
        <v>35</v>
      </c>
    </row>
    <row r="66" spans="1:6" x14ac:dyDescent="0.2">
      <c r="A66" s="2">
        <v>103065</v>
      </c>
      <c r="B66" s="2">
        <v>120095</v>
      </c>
      <c r="C66" s="3" t="s">
        <v>33</v>
      </c>
      <c r="D66" s="2">
        <v>4</v>
      </c>
      <c r="E66" s="3" t="s">
        <v>12</v>
      </c>
      <c r="F66" s="3" t="s">
        <v>14</v>
      </c>
    </row>
    <row r="67" spans="1:6" x14ac:dyDescent="0.2">
      <c r="A67" s="2">
        <v>103066</v>
      </c>
      <c r="B67" s="2">
        <v>120096</v>
      </c>
      <c r="C67" s="3" t="s">
        <v>33</v>
      </c>
      <c r="D67" s="2">
        <v>3</v>
      </c>
      <c r="E67" s="3" t="s">
        <v>12</v>
      </c>
      <c r="F67" s="3" t="s">
        <v>35</v>
      </c>
    </row>
    <row r="68" spans="1:6" x14ac:dyDescent="0.2">
      <c r="A68" s="2">
        <v>103067</v>
      </c>
      <c r="B68" s="2">
        <v>120097</v>
      </c>
      <c r="C68" s="3" t="s">
        <v>42</v>
      </c>
      <c r="D68" s="2">
        <v>2</v>
      </c>
      <c r="E68" s="3" t="s">
        <v>55</v>
      </c>
      <c r="F68" s="3" t="s">
        <v>30</v>
      </c>
    </row>
    <row r="69" spans="1:6" x14ac:dyDescent="0.2">
      <c r="A69" s="2">
        <v>103068</v>
      </c>
      <c r="B69" s="2">
        <v>120098</v>
      </c>
      <c r="C69" s="3" t="s">
        <v>10</v>
      </c>
      <c r="D69" s="2">
        <v>4</v>
      </c>
      <c r="E69" s="3" t="s">
        <v>20</v>
      </c>
      <c r="F69" s="3" t="s">
        <v>39</v>
      </c>
    </row>
    <row r="70" spans="1:6" x14ac:dyDescent="0.2">
      <c r="A70" s="2">
        <v>103069</v>
      </c>
      <c r="B70" s="2">
        <v>120099</v>
      </c>
      <c r="C70" s="3" t="s">
        <v>10</v>
      </c>
      <c r="D70" s="2">
        <v>4</v>
      </c>
      <c r="E70" s="3" t="s">
        <v>55</v>
      </c>
      <c r="F70" s="3" t="s">
        <v>14</v>
      </c>
    </row>
    <row r="71" spans="1:6" x14ac:dyDescent="0.2">
      <c r="A71" s="2">
        <v>103070</v>
      </c>
      <c r="B71" s="2">
        <v>120100</v>
      </c>
      <c r="C71" s="3" t="s">
        <v>42</v>
      </c>
      <c r="D71" s="2">
        <v>2</v>
      </c>
      <c r="E71" s="3" t="s">
        <v>12</v>
      </c>
      <c r="F71" s="3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</sheetPr>
  <dimension ref="A1:Q54"/>
  <sheetViews>
    <sheetView showGridLines="0" tabSelected="1" workbookViewId="0">
      <selection activeCell="K18" sqref="K18"/>
    </sheetView>
  </sheetViews>
  <sheetFormatPr defaultColWidth="12.5703125" defaultRowHeight="15.75" customHeight="1" x14ac:dyDescent="0.2"/>
  <cols>
    <col min="1" max="1" width="15" customWidth="1"/>
    <col min="2" max="2" width="24.28515625" customWidth="1"/>
    <col min="3" max="3" width="14.85546875" customWidth="1"/>
    <col min="5" max="5" width="13.85546875" customWidth="1"/>
  </cols>
  <sheetData>
    <row r="1" spans="1:17" x14ac:dyDescent="0.2">
      <c r="A1" s="12" t="s">
        <v>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5.75" customHeigh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5.7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15.75" customHeight="1" x14ac:dyDescent="0.25">
      <c r="A4" s="6"/>
    </row>
    <row r="5" spans="1:17" ht="15.75" customHeight="1" x14ac:dyDescent="0.25">
      <c r="A5" s="7" t="s">
        <v>54</v>
      </c>
      <c r="B5" s="8"/>
      <c r="C5" s="8"/>
    </row>
    <row r="7" spans="1:17" x14ac:dyDescent="0.2">
      <c r="A7" s="14" t="s">
        <v>8</v>
      </c>
      <c r="B7" s="15" t="s">
        <v>72</v>
      </c>
    </row>
    <row r="8" spans="1:17" x14ac:dyDescent="0.2">
      <c r="A8" s="16" t="s">
        <v>13</v>
      </c>
      <c r="B8" s="17">
        <v>50</v>
      </c>
    </row>
    <row r="9" spans="1:17" x14ac:dyDescent="0.2">
      <c r="A9" s="18" t="s">
        <v>26</v>
      </c>
      <c r="B9" s="19">
        <v>20</v>
      </c>
    </row>
    <row r="10" spans="1:17" x14ac:dyDescent="0.2">
      <c r="A10" s="20" t="s">
        <v>73</v>
      </c>
      <c r="B10" s="21">
        <v>70</v>
      </c>
    </row>
    <row r="12" spans="1:17" ht="15.75" customHeight="1" x14ac:dyDescent="0.25">
      <c r="A12" s="7" t="s">
        <v>75</v>
      </c>
      <c r="B12" s="8"/>
      <c r="C12" s="8"/>
    </row>
    <row r="14" spans="1:17" x14ac:dyDescent="0.2">
      <c r="A14" s="14" t="s">
        <v>72</v>
      </c>
      <c r="B14" s="14" t="s">
        <v>44</v>
      </c>
      <c r="C14" s="22"/>
      <c r="D14" s="22"/>
      <c r="E14" s="22"/>
      <c r="F14" s="22"/>
      <c r="G14" s="23"/>
    </row>
    <row r="15" spans="1:17" x14ac:dyDescent="0.2">
      <c r="A15" s="14" t="s">
        <v>45</v>
      </c>
      <c r="B15" s="16" t="s">
        <v>50</v>
      </c>
      <c r="C15" s="24" t="s">
        <v>57</v>
      </c>
      <c r="D15" s="24" t="s">
        <v>61</v>
      </c>
      <c r="E15" s="24" t="s">
        <v>67</v>
      </c>
      <c r="F15" s="24" t="s">
        <v>77</v>
      </c>
      <c r="G15" s="15" t="s">
        <v>73</v>
      </c>
    </row>
    <row r="16" spans="1:17" x14ac:dyDescent="0.2">
      <c r="A16" s="16" t="s">
        <v>51</v>
      </c>
      <c r="B16" s="25">
        <v>5</v>
      </c>
      <c r="C16" s="26">
        <v>13</v>
      </c>
      <c r="D16" s="26">
        <v>7</v>
      </c>
      <c r="E16" s="26"/>
      <c r="F16" s="26"/>
      <c r="G16" s="17">
        <v>25</v>
      </c>
    </row>
    <row r="17" spans="1:7" x14ac:dyDescent="0.2">
      <c r="A17" s="18" t="s">
        <v>58</v>
      </c>
      <c r="B17" s="27">
        <v>4</v>
      </c>
      <c r="C17" s="28">
        <v>29</v>
      </c>
      <c r="D17" s="28">
        <v>4</v>
      </c>
      <c r="E17" s="28">
        <v>1</v>
      </c>
      <c r="F17" s="28">
        <v>2</v>
      </c>
      <c r="G17" s="19">
        <v>40</v>
      </c>
    </row>
    <row r="18" spans="1:7" x14ac:dyDescent="0.2">
      <c r="A18" s="18" t="s">
        <v>80</v>
      </c>
      <c r="B18" s="27">
        <v>1</v>
      </c>
      <c r="C18" s="28"/>
      <c r="D18" s="28">
        <v>3</v>
      </c>
      <c r="E18" s="28">
        <v>1</v>
      </c>
      <c r="F18" s="28"/>
      <c r="G18" s="19">
        <v>5</v>
      </c>
    </row>
    <row r="19" spans="1:7" x14ac:dyDescent="0.2">
      <c r="A19" s="20" t="s">
        <v>73</v>
      </c>
      <c r="B19" s="29">
        <v>10</v>
      </c>
      <c r="C19" s="30">
        <v>42</v>
      </c>
      <c r="D19" s="30">
        <v>14</v>
      </c>
      <c r="E19" s="30">
        <v>2</v>
      </c>
      <c r="F19" s="30">
        <v>2</v>
      </c>
      <c r="G19" s="21">
        <v>70</v>
      </c>
    </row>
    <row r="21" spans="1:7" ht="15.75" customHeight="1" x14ac:dyDescent="0.25">
      <c r="A21" s="7" t="s">
        <v>81</v>
      </c>
      <c r="B21" s="8"/>
      <c r="C21" s="8"/>
    </row>
    <row r="23" spans="1:7" x14ac:dyDescent="0.2">
      <c r="A23" s="14" t="s">
        <v>3</v>
      </c>
      <c r="B23" s="15" t="s">
        <v>85</v>
      </c>
    </row>
    <row r="24" spans="1:7" x14ac:dyDescent="0.2">
      <c r="A24" s="16" t="s">
        <v>17</v>
      </c>
      <c r="B24" s="17">
        <v>3.2777777777777777</v>
      </c>
    </row>
    <row r="25" spans="1:7" x14ac:dyDescent="0.2">
      <c r="A25" s="18" t="s">
        <v>10</v>
      </c>
      <c r="B25" s="19">
        <v>3</v>
      </c>
    </row>
    <row r="26" spans="1:7" x14ac:dyDescent="0.2">
      <c r="A26" s="18" t="s">
        <v>47</v>
      </c>
      <c r="B26" s="19">
        <v>3.5</v>
      </c>
    </row>
    <row r="27" spans="1:7" x14ac:dyDescent="0.2">
      <c r="A27" s="18" t="s">
        <v>33</v>
      </c>
      <c r="B27" s="19">
        <v>3.2</v>
      </c>
    </row>
    <row r="28" spans="1:7" x14ac:dyDescent="0.2">
      <c r="A28" s="18" t="s">
        <v>42</v>
      </c>
      <c r="B28" s="19">
        <v>3.0833333333333335</v>
      </c>
    </row>
    <row r="29" spans="1:7" x14ac:dyDescent="0.2">
      <c r="A29" s="18" t="s">
        <v>48</v>
      </c>
      <c r="B29" s="19">
        <v>3</v>
      </c>
    </row>
    <row r="30" spans="1:7" x14ac:dyDescent="0.2">
      <c r="A30" s="18" t="s">
        <v>28</v>
      </c>
      <c r="B30" s="19">
        <v>3.8571428571428572</v>
      </c>
    </row>
    <row r="31" spans="1:7" x14ac:dyDescent="0.2">
      <c r="A31" s="20" t="s">
        <v>73</v>
      </c>
      <c r="B31" s="21">
        <v>3.2571428571428571</v>
      </c>
      <c r="C31" s="10" t="s">
        <v>87</v>
      </c>
      <c r="D31" s="10"/>
      <c r="E31" s="10"/>
    </row>
    <row r="33" spans="1:7" ht="15.75" customHeight="1" x14ac:dyDescent="0.25">
      <c r="A33" s="7" t="s">
        <v>88</v>
      </c>
      <c r="B33" s="8"/>
      <c r="C33" s="8"/>
      <c r="D33" s="31"/>
    </row>
    <row r="35" spans="1:7" x14ac:dyDescent="0.2">
      <c r="A35" s="14" t="s">
        <v>6</v>
      </c>
      <c r="B35" s="15" t="s">
        <v>85</v>
      </c>
    </row>
    <row r="36" spans="1:7" x14ac:dyDescent="0.2">
      <c r="A36" s="16" t="s">
        <v>35</v>
      </c>
      <c r="B36" s="17">
        <v>3.2</v>
      </c>
    </row>
    <row r="37" spans="1:7" ht="12.75" x14ac:dyDescent="0.2">
      <c r="A37" s="18" t="s">
        <v>53</v>
      </c>
      <c r="B37" s="19">
        <v>4</v>
      </c>
      <c r="C37" s="10" t="s">
        <v>92</v>
      </c>
    </row>
    <row r="38" spans="1:7" ht="12.75" x14ac:dyDescent="0.2">
      <c r="A38" s="18" t="s">
        <v>30</v>
      </c>
      <c r="B38" s="19">
        <v>2.6428571428571428</v>
      </c>
      <c r="C38" s="10" t="s">
        <v>93</v>
      </c>
    </row>
    <row r="39" spans="1:7" ht="12.75" x14ac:dyDescent="0.2">
      <c r="A39" s="18" t="s">
        <v>39</v>
      </c>
      <c r="B39" s="19">
        <v>3</v>
      </c>
    </row>
    <row r="40" spans="1:7" ht="12.75" x14ac:dyDescent="0.2">
      <c r="A40" s="18" t="s">
        <v>14</v>
      </c>
      <c r="B40" s="19">
        <v>3.5588235294117645</v>
      </c>
    </row>
    <row r="41" spans="1:7" ht="12.75" x14ac:dyDescent="0.2">
      <c r="A41" s="20" t="s">
        <v>73</v>
      </c>
      <c r="B41" s="21">
        <v>3.2571428571428571</v>
      </c>
    </row>
    <row r="42" spans="1:7" ht="12.75" x14ac:dyDescent="0.2">
      <c r="B42" s="9"/>
    </row>
    <row r="43" spans="1:7" x14ac:dyDescent="0.25">
      <c r="A43" s="7" t="s">
        <v>95</v>
      </c>
      <c r="B43" s="11"/>
      <c r="C43" s="8"/>
      <c r="D43" s="31"/>
    </row>
    <row r="45" spans="1:7" ht="12.75" x14ac:dyDescent="0.2">
      <c r="A45" s="14" t="s">
        <v>72</v>
      </c>
      <c r="B45" s="14" t="s">
        <v>44</v>
      </c>
      <c r="C45" s="22"/>
      <c r="D45" s="22"/>
      <c r="E45" s="22"/>
      <c r="F45" s="22"/>
      <c r="G45" s="23"/>
    </row>
    <row r="46" spans="1:7" ht="12.75" x14ac:dyDescent="0.2">
      <c r="A46" s="14" t="s">
        <v>46</v>
      </c>
      <c r="B46" s="16" t="s">
        <v>50</v>
      </c>
      <c r="C46" s="24" t="s">
        <v>57</v>
      </c>
      <c r="D46" s="24" t="s">
        <v>61</v>
      </c>
      <c r="E46" s="24" t="s">
        <v>67</v>
      </c>
      <c r="F46" s="24" t="s">
        <v>77</v>
      </c>
      <c r="G46" s="15" t="s">
        <v>73</v>
      </c>
    </row>
    <row r="47" spans="1:7" ht="12.75" x14ac:dyDescent="0.2">
      <c r="A47" s="16" t="s">
        <v>17</v>
      </c>
      <c r="B47" s="25">
        <v>5</v>
      </c>
      <c r="C47" s="26">
        <v>7</v>
      </c>
      <c r="D47" s="26">
        <v>5</v>
      </c>
      <c r="E47" s="26"/>
      <c r="F47" s="26">
        <v>1</v>
      </c>
      <c r="G47" s="17">
        <v>18</v>
      </c>
    </row>
    <row r="48" spans="1:7" ht="12.75" x14ac:dyDescent="0.2">
      <c r="A48" s="18" t="s">
        <v>10</v>
      </c>
      <c r="B48" s="27">
        <v>3</v>
      </c>
      <c r="C48" s="28">
        <v>2</v>
      </c>
      <c r="D48" s="28">
        <v>2</v>
      </c>
      <c r="E48" s="28"/>
      <c r="F48" s="28"/>
      <c r="G48" s="19">
        <v>7</v>
      </c>
    </row>
    <row r="49" spans="1:7" ht="12.75" x14ac:dyDescent="0.2">
      <c r="A49" s="18" t="s">
        <v>47</v>
      </c>
      <c r="B49" s="27"/>
      <c r="C49" s="28">
        <v>5</v>
      </c>
      <c r="D49" s="28">
        <v>1</v>
      </c>
      <c r="E49" s="28"/>
      <c r="F49" s="28"/>
      <c r="G49" s="19">
        <v>6</v>
      </c>
    </row>
    <row r="50" spans="1:7" ht="12.75" x14ac:dyDescent="0.2">
      <c r="A50" s="18" t="s">
        <v>33</v>
      </c>
      <c r="B50" s="27"/>
      <c r="C50" s="28">
        <v>10</v>
      </c>
      <c r="D50" s="28">
        <v>4</v>
      </c>
      <c r="E50" s="28"/>
      <c r="F50" s="28">
        <v>1</v>
      </c>
      <c r="G50" s="19">
        <v>15</v>
      </c>
    </row>
    <row r="51" spans="1:7" ht="12.75" x14ac:dyDescent="0.2">
      <c r="A51" s="18" t="s">
        <v>42</v>
      </c>
      <c r="B51" s="27">
        <v>2</v>
      </c>
      <c r="C51" s="28">
        <v>8</v>
      </c>
      <c r="D51" s="28">
        <v>1</v>
      </c>
      <c r="E51" s="28">
        <v>1</v>
      </c>
      <c r="F51" s="28"/>
      <c r="G51" s="19">
        <v>12</v>
      </c>
    </row>
    <row r="52" spans="1:7" ht="12.75" x14ac:dyDescent="0.2">
      <c r="A52" s="18" t="s">
        <v>48</v>
      </c>
      <c r="B52" s="27"/>
      <c r="C52" s="28">
        <v>4</v>
      </c>
      <c r="D52" s="28">
        <v>1</v>
      </c>
      <c r="E52" s="28"/>
      <c r="F52" s="28"/>
      <c r="G52" s="19">
        <v>5</v>
      </c>
    </row>
    <row r="53" spans="1:7" ht="12.75" x14ac:dyDescent="0.2">
      <c r="A53" s="18" t="s">
        <v>28</v>
      </c>
      <c r="B53" s="27"/>
      <c r="C53" s="28">
        <v>6</v>
      </c>
      <c r="D53" s="28"/>
      <c r="E53" s="28">
        <v>1</v>
      </c>
      <c r="F53" s="28"/>
      <c r="G53" s="19">
        <v>7</v>
      </c>
    </row>
    <row r="54" spans="1:7" ht="12.75" x14ac:dyDescent="0.2">
      <c r="A54" s="20" t="s">
        <v>73</v>
      </c>
      <c r="B54" s="29">
        <v>10</v>
      </c>
      <c r="C54" s="30">
        <v>42</v>
      </c>
      <c r="D54" s="30">
        <v>14</v>
      </c>
      <c r="E54" s="30">
        <v>2</v>
      </c>
      <c r="F54" s="30">
        <v>2</v>
      </c>
      <c r="G54" s="21">
        <v>70</v>
      </c>
    </row>
  </sheetData>
  <mergeCells count="1">
    <mergeCell ref="A1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dim_respondents.csv</vt:lpstr>
      <vt:lpstr>dim_cities</vt:lpstr>
      <vt:lpstr>fact_survey_responses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Sukhmani Arora</cp:lastModifiedBy>
  <dcterms:modified xsi:type="dcterms:W3CDTF">2026-09-02T05:31:36Z</dcterms:modified>
</cp:coreProperties>
</file>